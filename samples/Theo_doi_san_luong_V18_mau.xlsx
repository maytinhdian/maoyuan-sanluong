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HUONG_DAN" sheetId="1" state="visible" r:id="rId3"/>
    <sheet name="CAU_HINH_CA" sheetId="2" state="visible" r:id="rId4"/>
    <sheet name="DANH_SACH_CHUYEN" sheetId="3" state="visible" r:id="rId5"/>
    <sheet name="DANH_SACH_SAN_PHAM" sheetId="4" state="visible" r:id="rId6"/>
    <sheet name="NHAP_LIEU" sheetId="5" state="visible" r:id="rId7"/>
    <sheet name="MUC_TIEU_THANG" sheetId="6" state="visible" r:id="rId8"/>
    <sheet name="HIEN_THI" sheetId="7" state="visible" r:id="rId9"/>
  </sheets>
  <definedNames>
    <definedName function="false" hidden="false" name="DS_CHUYEN" vbProcedure="false">OFFSET(DANH_SACH_CHUYEN!$B$5,0,0,MAX(1,COUNTA(DANH_SACH_CHUYEN!$B$5:$B$1000)),1)</definedName>
    <definedName function="false" hidden="false" name="DS_MA_CA" vbProcedure="false">OFFSET(CAU_HINH_CA!$A$5,0,0,MAX(1,COUNTA(CAU_HINH_CA!$A$5:$A$50)),1)</definedName>
    <definedName function="false" hidden="false" name="DS_MA_SAN_PHAM" vbProcedure="false">OFFSET(DANH_SACH_SAN_PHAM!$A$5,0,0,MAX(1,COUNTA(DANH_SACH_SAN_PHAM!$A$5:$A$1000)),1)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<sst xmlns="http://schemas.openxmlformats.org/spreadsheetml/2006/main" count="409" uniqueCount="209">
  <si>
    <t xml:space="preserve">HƯỚNG DẪN SỬ DỤNG – THEO DÕI SẢN LƯỢNG V18</t>
  </si>
  <si>
    <t xml:space="preserve">Mỗi sheet dữ liệu là một Excel Table (lọc/sắp xếp ở dòng 4). Cột có tiêu đề VÀNG (dòng 3) là cột nhập tay;</t>
  </si>
  <si>
    <t xml:space="preserve">cột có tiêu đề XANH NHẠT là công thức, KHÔNG gõ đè. Thêm dữ liệu: gõ vào dòng ngay dưới bảng, bảng tự nới ra và tự điền công thức.</t>
  </si>
  <si>
    <t xml:space="preserve">Dữ liệu bắt đầu từ dòng 5 ở mọi sheet. Dòng 2–3 là tiêu đề Trung/Việt, dòng 4 là số thứ tự cột.</t>
  </si>
  <si>
    <t xml:space="preserve">1. Danh mục (ít khi đổi)</t>
  </si>
  <si>
    <t xml:space="preserve">CAU_HINH_CA: mã ca và các đợt làm việc. TỔNG GIỜ tự tính từ giờ bắt đầu/kết thúc.</t>
  </si>
  <si>
    <t xml:space="preserve">DANH_SACH_CHUYEN: thứ tự ở đây là thứ tự hiển thị trên TV. Thêm chuyền thì thêm 1 dòng ở cả sheet này và bảng HIEN_THI.</t>
  </si>
  <si>
    <t xml:space="preserve">DANH_SACH_SAN_PHAM: mọi mã sản phẩm. Mã được lưu dạng chữ (883 và "883" là một).</t>
  </si>
  <si>
    <t xml:space="preserve">2. Đầu tháng</t>
  </si>
  <si>
    <t xml:space="preserve">MUC_TIEU_THANG: mỗi sản phẩm một dòng cho mỗi tháng. Cột THÁNG gõ dạng 10/2026. Các cột lũy kế tự tính.</t>
  </si>
  <si>
    <t xml:space="preserve">3. Hằng ngày – sheet NHAP_LIEU</t>
  </si>
  <si>
    <t xml:space="preserve">Mỗi chuyền một dòng mỗi ngày: NGÀY, CHUYỀN, MÃ SẢN PHẨM, MÃ CA, MỤC TIÊU MỖI GIỜ.</t>
  </si>
  <si>
    <t xml:space="preserve">Sau mỗi giờ, gõ số lượng làm được vào cột GIỜ 1 … GIỜ 12 (GIỜ 1 = đợt đầu tiên của ca).</t>
  </si>
  <si>
    <t xml:space="preserve">Máy tự tính: mục tiêu ngày = giờ ca × mục tiêu mỗi giờ (làm tròn), thực tế, % đạt, còn thiếu, tiến độ theo giờ,</t>
  </si>
  <si>
    <t xml:space="preserve">và THIẾU HÔM TRƯỚC = số còn thiếu của ngày làm việc gần nhất trước đó của cùng chuyền.</t>
  </si>
  <si>
    <t xml:space="preserve">Cột KIỂM TRA phải là OK. Nếu báo TRÙNG / THIẾU MÃ CA / CHƯA CÓ MỤC TIÊU THÁNG thì sửa dòng đó.</t>
  </si>
  <si>
    <t xml:space="preserve">4. Màn hình TV – sheet HIEN_THI</t>
  </si>
  <si>
    <t xml:space="preserve">Toàn bộ là công thức, KHÔNG nhập tay. App TV chỉ đọc sheet này: mỗi dòng của bảng là một chuyền, dòng TỔNG CỘNG nằm ngay dưới bảng (cách 1 dòng).</t>
  </si>
  <si>
    <t xml:space="preserve">Mặc định hiển thị ngày có kế hoạch gần nhất tính đến hôm nay. Muốn xem ngày khác thì gõ ngày vào ô J1, xóa J1 để trở lại.</t>
  </si>
  <si>
    <t xml:space="preserve">Không đổi tên sheet, không chèn/xóa cột ở HIEN_THI, vì app đọc theo vị trí cột.</t>
  </si>
  <si>
    <t xml:space="preserve">5. Dung lượng</t>
  </si>
  <si>
    <t xml:space="preserve">Công thức tổng hợp tính tới dòng 10.004 của NHAP_LIEU (khoảng 4–5 năm với 6 chuyền).</t>
  </si>
  <si>
    <t xml:space="preserve">Tiêu đề cột nhập tay</t>
  </si>
  <si>
    <t xml:space="preserve">Tiêu đề cột công thức</t>
  </si>
  <si>
    <r>
      <rPr>
        <b val="true"/>
        <sz val="14"/>
        <color rgb="FFFFFFFF"/>
        <rFont val="WenQuanYi Zen Hei"/>
        <family val="2"/>
      </rPr>
      <t xml:space="preserve">工作時間設定 </t>
    </r>
    <r>
      <rPr>
        <b val="true"/>
        <sz val="14"/>
        <color rgb="FFFFFFFF"/>
        <rFont val="Calibri"/>
        <family val="0"/>
        <charset val="1"/>
      </rPr>
      <t xml:space="preserve">/ CẤU HÌNH CA</t>
    </r>
  </si>
  <si>
    <t xml:space="preserve">班次代碼</t>
  </si>
  <si>
    <t xml:space="preserve">班次名稱</t>
  </si>
  <si>
    <t xml:space="preserve">總工時</t>
  </si>
  <si>
    <t xml:space="preserve">第一時段開始</t>
  </si>
  <si>
    <t xml:space="preserve">第一時段結束</t>
  </si>
  <si>
    <t xml:space="preserve">第二時段開始</t>
  </si>
  <si>
    <t xml:space="preserve">第二時段結束</t>
  </si>
  <si>
    <t xml:space="preserve">第三時段開始</t>
  </si>
  <si>
    <t xml:space="preserve">第三時段結束</t>
  </si>
  <si>
    <t xml:space="preserve">啟用狀態</t>
  </si>
  <si>
    <t xml:space="preserve">MÃ CA</t>
  </si>
  <si>
    <t xml:space="preserve">TÊN CA</t>
  </si>
  <si>
    <t xml:space="preserve">TỔNG GIỜ
(tự tính)</t>
  </si>
  <si>
    <t xml:space="preserve">ĐỢT 1 BẮT ĐẦU</t>
  </si>
  <si>
    <t xml:space="preserve">ĐỢT 1 KẾT THÚC</t>
  </si>
  <si>
    <t xml:space="preserve">ĐỢT 2 BẮT ĐẦU</t>
  </si>
  <si>
    <t xml:space="preserve">ĐỢT 2 KẾT THÚC</t>
  </si>
  <si>
    <t xml:space="preserve">ĐỢT 3 BẮT ĐẦU</t>
  </si>
  <si>
    <t xml:space="preserve">ĐỢT 3 KẾT THÚC</t>
  </si>
  <si>
    <t xml:space="preserve">TRẠNG THÁI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</si>
  <si>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</si>
  <si>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</si>
  <si>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</si>
  <si>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</si>
  <si>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</si>
  <si>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</si>
  <si>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</si>
  <si>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</si>
  <si>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</si>
  <si>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</si>
  <si>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8H</t>
  </si>
  <si>
    <t xml:space="preserve">8 giờ</t>
  </si>
  <si>
    <t xml:space="preserve">Đang sử dụng</t>
  </si>
  <si>
    <t xml:space="preserve">9H</t>
  </si>
  <si>
    <t xml:space="preserve">9 giờ</t>
  </si>
  <si>
    <t xml:space="preserve">10H</t>
  </si>
  <si>
    <t xml:space="preserve">10 giờ</t>
  </si>
  <si>
    <t xml:space="preserve">11H30</t>
  </si>
  <si>
    <t xml:space="preserve">11 giờ 30 phút</t>
  </si>
  <si>
    <r>
      <rPr>
        <b val="true"/>
        <sz val="14"/>
        <color rgb="FFFFFFFF"/>
        <rFont val="WenQuanYi Zen Hei"/>
        <family val="2"/>
      </rPr>
      <t xml:space="preserve">產線清單 </t>
    </r>
    <r>
      <rPr>
        <b val="true"/>
        <sz val="14"/>
        <color rgb="FFFFFFFF"/>
        <rFont val="Calibri"/>
        <family val="0"/>
        <charset val="1"/>
      </rPr>
      <t xml:space="preserve">/ DANH SÁCH CHUYỀN</t>
    </r>
  </si>
  <si>
    <t xml:space="preserve">產線代碼</t>
  </si>
  <si>
    <t xml:space="preserve">產線名稱</t>
  </si>
  <si>
    <t xml:space="preserve">線長姓名</t>
  </si>
  <si>
    <t xml:space="preserve">MÃ CHUYỀN</t>
  </si>
  <si>
    <t xml:space="preserve">TÊN CHUYỀN</t>
  </si>
  <si>
    <t xml:space="preserve">TÊN TRƯỞNG CHUYỀN</t>
  </si>
  <si>
    <t xml:space="preserve">CH01</t>
  </si>
  <si>
    <t xml:space="preserve">Chuyền 1</t>
  </si>
  <si>
    <t xml:space="preserve">CH02</t>
  </si>
  <si>
    <t xml:space="preserve">Chuyền 2</t>
  </si>
  <si>
    <t xml:space="preserve">CH03</t>
  </si>
  <si>
    <t xml:space="preserve">Chuyền 3</t>
  </si>
  <si>
    <t xml:space="preserve">CH04</t>
  </si>
  <si>
    <t xml:space="preserve">Chuyền 4</t>
  </si>
  <si>
    <t xml:space="preserve">CH05</t>
  </si>
  <si>
    <t xml:space="preserve">Chuyền 5</t>
  </si>
  <si>
    <t xml:space="preserve">CH06</t>
  </si>
  <si>
    <t xml:space="preserve">Chuyền 6</t>
  </si>
  <si>
    <r>
      <rPr>
        <b val="true"/>
        <sz val="14"/>
        <color rgb="FFFFFFFF"/>
        <rFont val="WenQuanYi Zen Hei"/>
        <family val="2"/>
      </rPr>
      <t xml:space="preserve">產品清單 </t>
    </r>
    <r>
      <rPr>
        <b val="true"/>
        <sz val="14"/>
        <color rgb="FFFFFFFF"/>
        <rFont val="Calibri"/>
        <family val="0"/>
        <charset val="1"/>
      </rPr>
      <t xml:space="preserve">/ DANH SÁCH SẢN PHẨM</t>
    </r>
  </si>
  <si>
    <t xml:space="preserve">产品代码</t>
  </si>
  <si>
    <t xml:space="preserve">产品名称</t>
  </si>
  <si>
    <t xml:space="preserve">備註</t>
  </si>
  <si>
    <t xml:space="preserve">MÃ SẢN PHẨM</t>
  </si>
  <si>
    <t xml:space="preserve">TÊN SẢN PHẨM</t>
  </si>
  <si>
    <t xml:space="preserve">GHI CHÚ</t>
  </si>
  <si>
    <t xml:space="preserve">ĐAI LƯNG</t>
  </si>
  <si>
    <t xml:space="preserve">BAO TAY XANH</t>
  </si>
  <si>
    <t xml:space="preserve">883</t>
  </si>
  <si>
    <t xml:space="preserve">567</t>
  </si>
  <si>
    <t xml:space="preserve">Test</t>
  </si>
  <si>
    <t xml:space="preserve">MÃ 9H</t>
  </si>
  <si>
    <t xml:space="preserve">Mã thử từ V17</t>
  </si>
  <si>
    <r>
      <rPr>
        <b val="true"/>
        <sz val="14"/>
        <color rgb="FFFFFFFF"/>
        <rFont val="WenQuanYi Zen Hei"/>
        <family val="2"/>
      </rPr>
      <t xml:space="preserve">生產計劃與每小時產量 </t>
    </r>
    <r>
      <rPr>
        <b val="true"/>
        <sz val="14"/>
        <color rgb="FFFFFFFF"/>
        <rFont val="Calibri"/>
        <family val="0"/>
        <charset val="1"/>
      </rPr>
      <t xml:space="preserve">/ NHẬP LIỆU HẰNG NGÀY (KẾ HOẠCH + SẢN LƯỢNG THEO GIỜ)</t>
    </r>
  </si>
  <si>
    <t xml:space="preserve">日期</t>
  </si>
  <si>
    <t xml:space="preserve">產線</t>
  </si>
  <si>
    <t xml:space="preserve">工作時間</t>
  </si>
  <si>
    <r>
      <rPr>
        <b val="true"/>
        <sz val="10"/>
        <color rgb="FFFFFFFF"/>
        <rFont val="WenQuanYi Zen Hei"/>
        <family val="2"/>
      </rPr>
      <t xml:space="preserve">每小时目标产量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</si>
  <si>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每日目标产量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</si>
  <si>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</si>
  <si>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</si>
  <si>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</si>
  <si>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</si>
  <si>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</si>
  <si>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</si>
  <si>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</si>
  <si>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</si>
  <si>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</si>
  <si>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</si>
  <si>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</si>
  <si>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</si>
  <si>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每日实际产量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</si>
  <si>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当日达成率</t>
    </r>
    <r>
      <rPr>
        <b val="true"/>
        <sz val="10"/>
        <color rgb="FFFFFFFF"/>
        <rFont val="Calibri"/>
        <family val="0"/>
        <charset val="1"/>
      </rPr>
      <t xml:space="preserve">%</t>
    </r>
  </si>
  <si>
    <r>
      <rPr>
        <b val="true"/>
        <sz val="10"/>
        <color rgb="FFFFFFFF"/>
        <rFont val="WenQuanYi Zen Hei"/>
        <family val="2"/>
      </rPr>
      <t xml:space="preserve">差異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</si>
  <si>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剩餘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</si>
  <si>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已輸入小時數</t>
  </si>
  <si>
    <r>
      <rPr>
        <b val="true"/>
        <sz val="10"/>
        <color rgb="FFFFFFFF"/>
        <rFont val="WenQuanYi Zen Hei"/>
        <family val="2"/>
      </rPr>
      <t xml:space="preserve">累計目標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</si>
  <si>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進度達成率</t>
    </r>
    <r>
      <rPr>
        <b val="true"/>
        <sz val="10"/>
        <color rgb="FFFFFFFF"/>
        <rFont val="Calibri"/>
        <family val="0"/>
        <charset val="1"/>
      </rPr>
      <t xml:space="preserve">%</t>
    </r>
  </si>
  <si>
    <t xml:space="preserve">前一工作日</t>
  </si>
  <si>
    <r>
      <rPr>
        <b val="true"/>
        <sz val="10"/>
        <color rgb="FFFFFFFF"/>
        <rFont val="WenQuanYi Zen Hei"/>
        <family val="2"/>
      </rPr>
      <t xml:space="preserve">前一日欠數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</si>
  <si>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狀態</t>
  </si>
  <si>
    <t xml:space="preserve">檢查</t>
  </si>
  <si>
    <t xml:space="preserve">索引</t>
  </si>
  <si>
    <t xml:space="preserve">NGÀY</t>
  </si>
  <si>
    <t xml:space="preserve">CHUYỀN</t>
  </si>
  <si>
    <t xml:space="preserve">MỤC TIÊU MỖI GIỜ</t>
  </si>
  <si>
    <t xml:space="preserve">GIỜ CA</t>
  </si>
  <si>
    <t xml:space="preserve">MỤC TIÊU TRONG NGÀY</t>
  </si>
  <si>
    <t xml:space="preserve">GIỜ 1</t>
  </si>
  <si>
    <t xml:space="preserve">GIỜ 2</t>
  </si>
  <si>
    <t xml:space="preserve">GIỜ 3</t>
  </si>
  <si>
    <t xml:space="preserve">GIỜ 4</t>
  </si>
  <si>
    <t xml:space="preserve">GIỜ 5</t>
  </si>
  <si>
    <t xml:space="preserve">GIỜ 6</t>
  </si>
  <si>
    <t xml:space="preserve">GIỜ 7</t>
  </si>
  <si>
    <t xml:space="preserve">GIỜ 8</t>
  </si>
  <si>
    <t xml:space="preserve">GIỜ 9</t>
  </si>
  <si>
    <t xml:space="preserve">GIỜ 10</t>
  </si>
  <si>
    <t xml:space="preserve">GIỜ 11</t>
  </si>
  <si>
    <t xml:space="preserve">GIỜ 12</t>
  </si>
  <si>
    <t xml:space="preserve">THỰC TẾ TRONG NGÀY</t>
  </si>
  <si>
    <t xml:space="preserve">TỶ LỆ ĐẠT TRONG NGÀY</t>
  </si>
  <si>
    <t xml:space="preserve">CHÊNH LỆCH</t>
  </si>
  <si>
    <t xml:space="preserve">CÒN THIẾU</t>
  </si>
  <si>
    <t xml:space="preserve">SỐ GIỜ ĐÃ NHẬP</t>
  </si>
  <si>
    <t xml:space="preserve">MỤC TIÊU ĐẾN GIỜ ĐÃ NHẬP</t>
  </si>
  <si>
    <t xml:space="preserve">TIẾN ĐỘ THEO GIỜ</t>
  </si>
  <si>
    <t xml:space="preserve">NGÀY LÀM TRƯỚC</t>
  </si>
  <si>
    <t xml:space="preserve">THIẾU HÔM TRƯỚC</t>
  </si>
  <si>
    <t xml:space="preserve">KIỂM TRA</t>
  </si>
  <si>
    <t xml:space="preserve">KHÓA (máy dùng)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</si>
  <si>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</si>
  <si>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</si>
  <si>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</si>
  <si>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</si>
  <si>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</si>
  <si>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</si>
  <si>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</si>
  <si>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</si>
  <si>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</si>
  <si>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</si>
  <si>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</si>
  <si>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</si>
  <si>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</si>
  <si>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</si>
  <si>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</si>
  <si>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</si>
  <si>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</si>
  <si>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</si>
  <si>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</si>
  <si>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</si>
  <si>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</si>
  <si>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</si>
  <si>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Đang chạy</t>
  </si>
  <si>
    <r>
      <rPr>
        <b val="true"/>
        <sz val="14"/>
        <color rgb="FFFFFFFF"/>
        <rFont val="WenQuanYi Zen Hei"/>
        <family val="2"/>
      </rPr>
      <t xml:space="preserve">當月目標與累計 </t>
    </r>
    <r>
      <rPr>
        <b val="true"/>
        <sz val="14"/>
        <color rgb="FFFFFFFF"/>
        <rFont val="Calibri"/>
        <family val="0"/>
        <charset val="1"/>
      </rPr>
      <t xml:space="preserve">/ MỤC TIÊU &amp; LŨY KẾ THÁNG</t>
    </r>
  </si>
  <si>
    <t xml:space="preserve">月份</t>
  </si>
  <si>
    <r>
      <rPr>
        <b val="true"/>
        <sz val="10"/>
        <color rgb="FFFFFFFF"/>
        <rFont val="WenQuanYi Zen Hei"/>
        <family val="2"/>
      </rPr>
      <t xml:space="preserve">当月总目标产量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</si>
  <si>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当月累计产能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</si>
  <si>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当月累计差异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</si>
  <si>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当月总达成率</t>
  </si>
  <si>
    <r>
      <rPr>
        <b val="true"/>
        <sz val="10"/>
        <color rgb="FFFFFFFF"/>
        <rFont val="WenQuanYi Zen Hei"/>
        <family val="2"/>
      </rPr>
      <t xml:space="preserve">累計每日目標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</si>
  <si>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與每日目標差異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</si>
  <si>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THÁNG</t>
  </si>
  <si>
    <t xml:space="preserve">TỔNG SẢN LƯỢNG MỤC TIÊU TRONG THÁNG</t>
  </si>
  <si>
    <t xml:space="preserve">LŨY KẾ SẢN LƯỢNG TRONG THÁNG</t>
  </si>
  <si>
    <t xml:space="preserve">LŨY KẾ CHÊNH LỆCH TRONG THÁNG</t>
  </si>
  <si>
    <t xml:space="preserve">TỔNG ĐẠT % TRONG THÁNG</t>
  </si>
  <si>
    <t xml:space="preserve">CÒN THIẾU TRONG THÁNG</t>
  </si>
  <si>
    <t xml:space="preserve">LŨY KẾ MỤC TIÊU NGÀY (các ngày đã nhập)</t>
  </si>
  <si>
    <t xml:space="preserve">CHÊNH LỆCH SO VỚI MỤC TIÊU NGÀY</t>
  </si>
  <si>
    <r>
      <rPr>
        <b val="true"/>
        <sz val="14"/>
        <color rgb="FFFFFFFF"/>
        <rFont val="WenQuanYi Zen Hei"/>
        <family val="2"/>
      </rPr>
      <t xml:space="preserve">電視顯示 </t>
    </r>
    <r>
      <rPr>
        <b val="true"/>
        <sz val="14"/>
        <color rgb="FFFFFFFF"/>
        <rFont val="Calibri"/>
        <family val="0"/>
        <charset val="1"/>
      </rPr>
      <t xml:space="preserve">/ BẢNG HIỂN THỊ TV</t>
    </r>
  </si>
  <si>
    <t xml:space="preserve">CHỌN NGÀY (để trống = hôm nay):</t>
  </si>
  <si>
    <t xml:space="preserve">ĐANG HIỂN THỊ:</t>
  </si>
  <si>
    <r>
      <rPr>
        <b val="true"/>
        <sz val="10"/>
        <color rgb="FFFFFFFF"/>
        <rFont val="WenQuanYi Zen Hei"/>
        <family val="2"/>
      </rPr>
      <t xml:space="preserve">本線當月累計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</si>
  <si>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MỤC TIÊU THÁNG (SẢN PHẨM)</t>
  </si>
  <si>
    <t xml:space="preserve">LŨY KẾ THÁNG (SẢN PHẨM, đến ngày này)</t>
  </si>
  <si>
    <t xml:space="preserve">TỶ LỆ ĐẠT THÁNG</t>
  </si>
  <si>
    <t xml:space="preserve">CÒN THIẾU THÁNG</t>
  </si>
  <si>
    <t xml:space="preserve">LŨY KẾ THÁNG CỦA CHUYỀN</t>
  </si>
  <si>
    <t xml:space="preserve">DÒNG NHẬP LIỆU (máy dùng)</t>
  </si>
  <si>
    <t xml:space="preserve">33</t>
  </si>
  <si>
    <t xml:space="preserve">34</t>
  </si>
  <si>
    <t xml:space="preserve">35</t>
  </si>
  <si>
    <t xml:space="preserve">36</t>
  </si>
  <si>
    <t xml:space="preserve">TỔNG CỘNG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</si>
</sst>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@"/>
    <numFmt numFmtId="166" formatCode="0.0#"/>
    <numFmt numFmtId="167" formatCode="hh:mm"/>
    <numFmt numFmtId="168" formatCode="dd/mm/yyyy"/>
    <numFmt numFmtId="169" formatCode="#,##0"/>
    <numFmt numFmtId="170" formatCode="0.0%"/>
    <numFmt numFmtId="171" formatCode="#,##0;[RED]\-#,##0"/>
    <numFmt numFmtId="172" formatCode="0"/>
    <numFmt numFmtId="173" formatCode="dd/mm/yyyy;;;"/>
    <numFmt numFmtId="174" formatCode="yyyy\-mm\-dd\ h:mm:ss"/>
    <numFmt numFmtId="175" formatCode="General"/>
    <numFmt numFmtId="176" formatCode="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4"/>
      <color rgb="FFFFFFFF"/>
      <name val="WenQuanYi Zen Hei"/>
      <family val="2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344767"/>
      <name val="Calibri"/>
      <family val="0"/>
      <charset val="1"/>
    </font>
    <font>
      <b val="true"/>
      <sz val="9"/>
      <color rgb="FF344767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b val="true"/>
      <sz val="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E699"/>
        <bgColor rgb="FFF8CBAD"/>
      </patternFill>
    </fill>
    <fill>
      <patternFill patternType="solid">
        <fgColor rgb="FFD9EAF7"/>
        <bgColor rgb="FFEAF3F8"/>
      </patternFill>
    </fill>
    <fill>
      <patternFill patternType="solid">
        <fgColor rgb="FF1F4E78"/>
        <bgColor rgb="FF344767"/>
      </patternFill>
    </fill>
    <fill>
      <patternFill patternType="solid">
        <fgColor rgb="FF5B9BD5"/>
        <bgColor rgb="FF969696"/>
      </patternFill>
    </fill>
    <fill>
      <patternFill patternType="solid">
        <fgColor rgb="FFEAF3F8"/>
        <bgColor rgb="FFF2F2F2"/>
      </patternFill>
    </fill>
    <fill>
      <patternFill patternType="solid">
        <fgColor rgb="FFFFF9E6"/>
        <bgColor rgb="FFFFFFFF"/>
      </patternFill>
    </fill>
    <fill>
      <patternFill patternType="solid">
        <fgColor rgb="FFF2F2F2"/>
        <bgColor rgb="FFEA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7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EA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4476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7A33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ont>
        <b val="1"/>
        <color rgb="FFC00000"/>
      </font>
    </dxf>
    <dxf>
      <font>
        <b val="1"/>
        <color rgb="FF007A3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9E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F2F2F2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447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auHinhCa" displayName="tblCauHinhCa" ref="A4:J8" headerRowCount="1" totalsRowCount="0" totalsRowShown="0">
  <autoFilter ref="A4:J8"/>
  <tableColumns count="10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</tableColumns>
</table>
</file>

<file path=xl/tables/table2.xml><?xml version="1.0" encoding="utf-8"?>
<table xmlns="http://schemas.openxmlformats.org/spreadsheetml/2006/main" id="2" name="tblDanhSachChuyen" displayName="tblDanhSachChuyen" ref="A4:D10" headerRowCount="1" totalsRowCount="0" totalsRowShown="0">
  <autoFilter ref="A4:D10"/>
  <tableColumns count="4">
    <tableColumn id="1" name="1"/>
    <tableColumn id="2" name="2"/>
    <tableColumn id="3" name="3"/>
    <tableColumn id="4" name="4"/>
  </tableColumns>
</table>
</file>

<file path=xl/tables/table3.xml><?xml version="1.0" encoding="utf-8"?>
<table xmlns="http://schemas.openxmlformats.org/spreadsheetml/2006/main" id="3" name="tblDanhSachSanPham" displayName="tblDanhSachSanPham" ref="A4:D9" headerRowCount="1" totalsRowCount="0" totalsRowShown="0">
  <autoFilter ref="A4:D9"/>
  <tableColumns count="4">
    <tableColumn id="1" name="1"/>
    <tableColumn id="2" name="2"/>
    <tableColumn id="3" name="3"/>
    <tableColumn id="4" name="4"/>
  </tableColumns>
</table>
</file>

<file path=xl/tables/table4.xml><?xml version="1.0" encoding="utf-8"?>
<table xmlns="http://schemas.openxmlformats.org/spreadsheetml/2006/main" id="4" name="tblHienThi" displayName="tblHienThi" ref="A4:AJ10" headerRowCount="1" totalsRowCount="0" totalsRowShown="0">
  <autoFilter ref="A4:AJ10"/>
  <tableColumns count="36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  <tableColumn id="14" name="14"/>
    <tableColumn id="15" name="15"/>
    <tableColumn id="16" name="16"/>
    <tableColumn id="17" name="17"/>
    <tableColumn id="18" name="18"/>
    <tableColumn id="19" name="19"/>
    <tableColumn id="20" name="20"/>
    <tableColumn id="21" name="21"/>
    <tableColumn id="22" name="22"/>
    <tableColumn id="23" name="23"/>
    <tableColumn id="24" name="24"/>
    <tableColumn id="25" name="25"/>
    <tableColumn id="26" name="26"/>
    <tableColumn id="27" name="27"/>
    <tableColumn id="28" name="28"/>
    <tableColumn id="29" name="29"/>
    <tableColumn id="30" name="30"/>
    <tableColumn id="31" name="31"/>
    <tableColumn id="32" name="32"/>
    <tableColumn id="33" name="33"/>
    <tableColumn id="34" name="34"/>
    <tableColumn id="35" name="35"/>
    <tableColumn id="36" name="36"/>
  </tableColumns>
</table>
</file>

<file path=xl/tables/table5.xml><?xml version="1.0" encoding="utf-8"?>
<table xmlns="http://schemas.openxmlformats.org/spreadsheetml/2006/main" id="5" name="tblMucTieuThang" displayName="tblMucTieuThang" ref="A4:J8" headerRowCount="1" totalsRowCount="0" totalsRowShown="0">
  <autoFilter ref="A4:J8"/>
  <tableColumns count="10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</tableColumns>
</table>
</file>

<file path=xl/tables/table6.xml><?xml version="1.0" encoding="utf-8"?>
<table xmlns="http://schemas.openxmlformats.org/spreadsheetml/2006/main" id="6" name="tblNhapLieu" displayName="tblNhapLieu" ref="A4:AF16" headerRowCount="1" totalsRowCount="0" totalsRowShown="0">
  <autoFilter ref="A4:AF16"/>
  <tableColumns count="32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  <tableColumn id="14" name="14"/>
    <tableColumn id="15" name="15"/>
    <tableColumn id="16" name="16"/>
    <tableColumn id="17" name="17"/>
    <tableColumn id="18" name="18"/>
    <tableColumn id="19" name="19"/>
    <tableColumn id="20" name="20"/>
    <tableColumn id="21" name="21"/>
    <tableColumn id="22" name="22"/>
    <tableColumn id="23" name="23"/>
    <tableColumn id="24" name="24"/>
    <tableColumn id="25" name="25"/>
    <tableColumn id="26" name="26"/>
    <tableColumn id="27" name="27"/>
    <tableColumn id="28" name="28"/>
    <tableColumn id="29" name="29"/>
    <tableColumn id="30" name="30"/>
    <tableColumn id="31" name="31"/>
    <tableColumn id="32" name="32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29.85" hidden="false" customHeight="false" outlineLevel="0" collapsed="false">
      <c r="B3" s="2" t="s">
        <v>2</v>
      </c>
    </row>
    <row r="4" customFormat="false" ht="15" hidden="false" customHeight="false" outlineLevel="0" collapsed="false">
      <c r="B4" s="2" t="s">
        <v>3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2" t="s">
        <v>5</v>
      </c>
    </row>
    <row r="8" customFormat="false" ht="29.8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15" hidden="false" customHeight="false" outlineLevel="0" collapsed="false">
      <c r="B19" s="2" t="s">
        <v>15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3" t="s">
        <v>16</v>
      </c>
    </row>
    <row r="22" customFormat="false" ht="29.85" hidden="false" customHeight="false" outlineLevel="0" collapsed="false">
      <c r="B22" s="2" t="s">
        <v>17</v>
      </c>
    </row>
    <row r="23" customFormat="false" ht="29.85" hidden="false" customHeight="false" outlineLevel="0" collapsed="false">
      <c r="B23" s="2" t="s">
        <v>18</v>
      </c>
    </row>
    <row r="24" customFormat="false" ht="1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3" t="s">
        <v>20</v>
      </c>
    </row>
    <row r="27" customFormat="false" ht="15" hidden="false" customHeight="false" outlineLevel="0" collapsed="false">
      <c r="B27" s="2" t="s">
        <v>21</v>
      </c>
    </row>
    <row r="30" customFormat="false" ht="15" hidden="false" customHeight="false" outlineLevel="0" collapsed="false">
      <c r="B30" s="4" t="s">
        <v>22</v>
      </c>
    </row>
    <row r="31" customFormat="false" ht="15" hidden="false" customHeight="false" outlineLevel="0" collapsed="false">
      <c r="B31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0" min="10" style="0" width="16"/>
  </cols>
  <sheetData>
    <row r="1" customFormat="false" ht="27.75" hidden="false" customHeight="true" outlineLevel="0" collapsed="false">
      <c r="A1" s="6" t="s">
        <v>24</v>
      </c>
      <c r="B1" s="6"/>
      <c r="C1" s="6"/>
      <c r="D1" s="6"/>
      <c r="E1" s="6"/>
      <c r="F1" s="6"/>
      <c r="G1" s="6"/>
      <c r="H1" s="6"/>
    </row>
    <row r="2" customFormat="false" ht="27.75" hidden="false" customHeight="true" outlineLevel="0" collapsed="false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</row>
    <row r="3" customFormat="false" ht="37.5" hidden="false" customHeight="true" outlineLevel="0" collapsed="false">
      <c r="A3" s="8" t="s">
        <v>35</v>
      </c>
      <c r="B3" s="8" t="s">
        <v>36</v>
      </c>
      <c r="C3" s="9" t="s">
        <v>37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42</v>
      </c>
      <c r="I3" s="8" t="s">
        <v>43</v>
      </c>
      <c r="J3" s="8" t="s">
        <v>44</v>
      </c>
    </row>
    <row r="4" customFormat="false" ht="15" hidden="false" customHeight="false" outlineLevel="0" collapsed="false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</row>
    <row r="5" customFormat="false" ht="15" hidden="false" customHeight="false" outlineLevel="0" collapsed="false">
      <c r="A5" s="11" t="s">
        <v>55</v>
      </c>
      <c r="B5" s="12" t="s">
        <v>56</v>
      </c>
      <c r="C5" s="13" t="n">
        <f aca="false">IF(A5="","",ROUND(((E5-D5)+(G5-F5)+(I5-H5))*24,2))</f>
        <v>8</v>
      </c>
      <c r="D5" s="14" t="n">
        <v>0.3125</v>
      </c>
      <c r="E5" s="14" t="n">
        <v>0.479166666666667</v>
      </c>
      <c r="F5" s="14" t="n">
        <v>0.520833333333333</v>
      </c>
      <c r="G5" s="14" t="n">
        <v>0.6875</v>
      </c>
      <c r="H5" s="14"/>
      <c r="I5" s="14"/>
      <c r="J5" s="12" t="s">
        <v>57</v>
      </c>
    </row>
    <row r="6" customFormat="false" ht="15" hidden="false" customHeight="false" outlineLevel="0" collapsed="false">
      <c r="A6" s="11" t="s">
        <v>58</v>
      </c>
      <c r="B6" s="12" t="s">
        <v>59</v>
      </c>
      <c r="C6" s="13" t="n">
        <f aca="false">IF(A6="","",ROUND(((E6-D6)+(G6-F6)+(I6-H6))*24,2))</f>
        <v>9</v>
      </c>
      <c r="D6" s="14" t="n">
        <v>0.3125</v>
      </c>
      <c r="E6" s="14" t="n">
        <v>0.479166666666667</v>
      </c>
      <c r="F6" s="14" t="n">
        <v>0.520833333333333</v>
      </c>
      <c r="G6" s="14" t="n">
        <v>0.729166666666667</v>
      </c>
      <c r="H6" s="14"/>
      <c r="I6" s="14"/>
      <c r="J6" s="12" t="s">
        <v>57</v>
      </c>
    </row>
    <row r="7" customFormat="false" ht="15" hidden="false" customHeight="false" outlineLevel="0" collapsed="false">
      <c r="A7" s="11" t="s">
        <v>60</v>
      </c>
      <c r="B7" s="12" t="s">
        <v>61</v>
      </c>
      <c r="C7" s="13" t="n">
        <f aca="false">IF(A7="","",ROUND(((E7-D7)+(G7-F7)+(I7-H7))*24,2))</f>
        <v>10</v>
      </c>
      <c r="D7" s="14" t="n">
        <v>0.3125</v>
      </c>
      <c r="E7" s="14" t="n">
        <v>0.479166666666667</v>
      </c>
      <c r="F7" s="14" t="n">
        <v>0.520833333333333</v>
      </c>
      <c r="G7" s="14" t="n">
        <v>0.770833333333333</v>
      </c>
      <c r="H7" s="14"/>
      <c r="I7" s="14"/>
      <c r="J7" s="12" t="s">
        <v>57</v>
      </c>
    </row>
    <row r="8" customFormat="false" ht="15" hidden="false" customHeight="false" outlineLevel="0" collapsed="false">
      <c r="A8" s="11" t="s">
        <v>62</v>
      </c>
      <c r="B8" s="12" t="s">
        <v>63</v>
      </c>
      <c r="C8" s="13" t="n">
        <f aca="false">IF(A8="","",ROUND(((E8-D8)+(G8-F8)+(I8-H8))*24,2))</f>
        <v>11.5</v>
      </c>
      <c r="D8" s="14" t="n">
        <v>0.3125</v>
      </c>
      <c r="E8" s="14" t="n">
        <v>0.479166666666667</v>
      </c>
      <c r="F8" s="14" t="n">
        <v>0.520833333333333</v>
      </c>
      <c r="G8" s="14" t="n">
        <v>0.6875</v>
      </c>
      <c r="H8" s="14" t="n">
        <v>0.708333333333333</v>
      </c>
      <c r="I8" s="14" t="n">
        <v>0.854166666666667</v>
      </c>
      <c r="J8" s="12" t="s">
        <v>57</v>
      </c>
    </row>
  </sheetData>
  <mergeCells count="1">
    <mergeCell ref="A1:H1"/>
  </mergeCells>
  <dataValidations count="1">
    <dataValidation allowBlank="true" error="Chọn giá trị trong danh sách." errorStyle="stop" errorTitle="Sai dữ liệu" operator="between" showDropDown="false" showErrorMessage="true" showInputMessage="false" sqref="J5:J50" type="list">
      <formula1>"Đang sử dụng,Ngừng sử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6" t="s">
        <v>64</v>
      </c>
      <c r="B1" s="6"/>
      <c r="C1" s="6"/>
      <c r="D1" s="6"/>
    </row>
    <row r="2" customFormat="false" ht="27.75" hidden="false" customHeight="true" outlineLevel="0" collapsed="false">
      <c r="A2" s="7" t="s">
        <v>65</v>
      </c>
      <c r="B2" s="7" t="s">
        <v>66</v>
      </c>
      <c r="C2" s="7" t="s">
        <v>67</v>
      </c>
      <c r="D2" s="7" t="s">
        <v>34</v>
      </c>
    </row>
    <row r="3" customFormat="false" ht="37.5" hidden="false" customHeight="true" outlineLevel="0" collapsed="false">
      <c r="A3" s="8" t="s">
        <v>68</v>
      </c>
      <c r="B3" s="8" t="s">
        <v>69</v>
      </c>
      <c r="C3" s="8" t="s">
        <v>70</v>
      </c>
      <c r="D3" s="8" t="s">
        <v>44</v>
      </c>
    </row>
    <row r="4" customFormat="false" ht="15" hidden="false" customHeight="false" outlineLevel="0" collapsed="false">
      <c r="A4" s="10" t="s">
        <v>45</v>
      </c>
      <c r="B4" s="10" t="s">
        <v>46</v>
      </c>
      <c r="C4" s="10" t="s">
        <v>47</v>
      </c>
      <c r="D4" s="10" t="s">
        <v>48</v>
      </c>
    </row>
    <row r="5" customFormat="false" ht="15" hidden="false" customHeight="false" outlineLevel="0" collapsed="false">
      <c r="A5" s="11" t="s">
        <v>71</v>
      </c>
      <c r="B5" s="12" t="s">
        <v>72</v>
      </c>
      <c r="C5" s="12"/>
      <c r="D5" s="12" t="s">
        <v>57</v>
      </c>
    </row>
    <row r="6" customFormat="false" ht="15" hidden="false" customHeight="false" outlineLevel="0" collapsed="false">
      <c r="A6" s="11" t="s">
        <v>73</v>
      </c>
      <c r="B6" s="12" t="s">
        <v>74</v>
      </c>
      <c r="C6" s="12"/>
      <c r="D6" s="12" t="s">
        <v>57</v>
      </c>
    </row>
    <row r="7" customFormat="false" ht="15" hidden="false" customHeight="false" outlineLevel="0" collapsed="false">
      <c r="A7" s="11" t="s">
        <v>75</v>
      </c>
      <c r="B7" s="12" t="s">
        <v>76</v>
      </c>
      <c r="C7" s="12"/>
      <c r="D7" s="12" t="s">
        <v>57</v>
      </c>
    </row>
    <row r="8" customFormat="false" ht="15" hidden="false" customHeight="false" outlineLevel="0" collapsed="false">
      <c r="A8" s="11" t="s">
        <v>77</v>
      </c>
      <c r="B8" s="12" t="s">
        <v>78</v>
      </c>
      <c r="C8" s="12"/>
      <c r="D8" s="12" t="s">
        <v>57</v>
      </c>
    </row>
    <row r="9" customFormat="false" ht="15" hidden="false" customHeight="false" outlineLevel="0" collapsed="false">
      <c r="A9" s="11" t="s">
        <v>79</v>
      </c>
      <c r="B9" s="12" t="s">
        <v>80</v>
      </c>
      <c r="C9" s="12"/>
      <c r="D9" s="12" t="s">
        <v>57</v>
      </c>
    </row>
    <row r="10" customFormat="false" ht="15" hidden="false" customHeight="false" outlineLevel="0" collapsed="false">
      <c r="A10" s="11" t="s">
        <v>81</v>
      </c>
      <c r="B10" s="12" t="s">
        <v>82</v>
      </c>
      <c r="C10" s="12"/>
      <c r="D10" s="12" t="s">
        <v>57</v>
      </c>
    </row>
  </sheetData>
  <mergeCells count="1">
    <mergeCell ref="A1:D1"/>
  </mergeCells>
  <dataValidations count="1">
    <dataValidation allowBlank="true" error="Chọn giá trị trong danh sách." errorStyle="stop" errorTitle="Sai dữ liệu" operator="between" showDropDown="false" showErrorMessage="true" showInputMessage="false" sqref="D5:D1000" type="list">
      <formula1>"Đang sử dụng,Ngừng sử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8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6" t="s">
        <v>83</v>
      </c>
      <c r="B1" s="6"/>
      <c r="C1" s="6"/>
      <c r="D1" s="6"/>
    </row>
    <row r="2" customFormat="false" ht="27.75" hidden="false" customHeight="true" outlineLevel="0" collapsed="false">
      <c r="A2" s="7" t="s">
        <v>84</v>
      </c>
      <c r="B2" s="7" t="s">
        <v>85</v>
      </c>
      <c r="C2" s="7" t="s">
        <v>86</v>
      </c>
      <c r="D2" s="7" t="s">
        <v>34</v>
      </c>
    </row>
    <row r="3" customFormat="false" ht="37.5" hidden="false" customHeight="true" outlineLevel="0" collapsed="false">
      <c r="A3" s="8" t="s">
        <v>87</v>
      </c>
      <c r="B3" s="8" t="s">
        <v>88</v>
      </c>
      <c r="C3" s="8" t="s">
        <v>89</v>
      </c>
      <c r="D3" s="8" t="s">
        <v>44</v>
      </c>
    </row>
    <row r="4" customFormat="false" ht="15" hidden="false" customHeight="false" outlineLevel="0" collapsed="false">
      <c r="A4" s="10" t="s">
        <v>45</v>
      </c>
      <c r="B4" s="10" t="s">
        <v>46</v>
      </c>
      <c r="C4" s="10" t="s">
        <v>47</v>
      </c>
      <c r="D4" s="10" t="s">
        <v>48</v>
      </c>
    </row>
    <row r="5" customFormat="false" ht="15" hidden="false" customHeight="false" outlineLevel="0" collapsed="false">
      <c r="A5" s="11" t="s">
        <v>90</v>
      </c>
      <c r="B5" s="12"/>
      <c r="C5" s="12"/>
      <c r="D5" s="12" t="s">
        <v>57</v>
      </c>
    </row>
    <row r="6" customFormat="false" ht="15" hidden="false" customHeight="false" outlineLevel="0" collapsed="false">
      <c r="A6" s="11" t="s">
        <v>91</v>
      </c>
      <c r="B6" s="12"/>
      <c r="C6" s="12"/>
      <c r="D6" s="12" t="s">
        <v>57</v>
      </c>
    </row>
    <row r="7" customFormat="false" ht="15" hidden="false" customHeight="false" outlineLevel="0" collapsed="false">
      <c r="A7" s="11" t="s">
        <v>92</v>
      </c>
      <c r="B7" s="12"/>
      <c r="C7" s="12"/>
      <c r="D7" s="12" t="s">
        <v>57</v>
      </c>
    </row>
    <row r="8" customFormat="false" ht="15" hidden="false" customHeight="false" outlineLevel="0" collapsed="false">
      <c r="A8" s="11" t="s">
        <v>93</v>
      </c>
      <c r="B8" s="12"/>
      <c r="C8" s="12" t="s">
        <v>94</v>
      </c>
      <c r="D8" s="12" t="s">
        <v>57</v>
      </c>
    </row>
    <row r="9" customFormat="false" ht="15" hidden="false" customHeight="false" outlineLevel="0" collapsed="false">
      <c r="A9" s="11" t="s">
        <v>95</v>
      </c>
      <c r="B9" s="12"/>
      <c r="C9" s="12" t="s">
        <v>96</v>
      </c>
      <c r="D9" s="12" t="s">
        <v>57</v>
      </c>
    </row>
  </sheetData>
  <mergeCells count="1">
    <mergeCell ref="A1:D1"/>
  </mergeCells>
  <dataValidations count="1">
    <dataValidation allowBlank="true" error="Chọn giá trị trong danh sách." errorStyle="stop" errorTitle="Sai dữ liệu" operator="between" showDropDown="false" showErrorMessage="true" showInputMessage="false" sqref="D5:D1000" type="list">
      <formula1>"Đang sử dụng,Ngừng sử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19" min="8" style="0" width="8"/>
    <col collapsed="false" customWidth="true" hidden="false" outlineLevel="0" max="20" min="20" style="0" width="13"/>
    <col collapsed="false" customWidth="true" hidden="false" outlineLevel="0" max="23" min="21" style="0" width="11"/>
    <col collapsed="false" customWidth="true" hidden="false" outlineLevel="0" max="24" min="24" style="0" width="9"/>
    <col collapsed="false" customWidth="true" hidden="false" outlineLevel="0" max="25" min="25" style="0" width="13"/>
    <col collapsed="false" customWidth="true" hidden="false" outlineLevel="0" max="26" min="26" style="0" width="11"/>
    <col collapsed="false" customWidth="true" hidden="false" outlineLevel="0" max="28" min="27" style="0" width="12"/>
    <col collapsed="false" customWidth="true" hidden="false" outlineLevel="0" max="29" min="29" style="0" width="13"/>
    <col collapsed="false" customWidth="true" hidden="false" outlineLevel="0" max="31" min="30" style="0" width="22"/>
    <col collapsed="false" customWidth="true" hidden="true" outlineLevel="0" max="32" min="32" style="0" width="16"/>
  </cols>
  <sheetData>
    <row r="1" customFormat="false" ht="27.75" hidden="false" customHeight="true" outlineLevel="0" collapsed="false">
      <c r="A1" s="6" t="s">
        <v>97</v>
      </c>
      <c r="B1" s="6"/>
      <c r="C1" s="6"/>
      <c r="D1" s="6"/>
      <c r="E1" s="6"/>
      <c r="F1" s="6"/>
      <c r="G1" s="6"/>
      <c r="H1" s="6"/>
    </row>
    <row r="2" customFormat="false" ht="27.75" hidden="false" customHeight="true" outlineLevel="0" collapsed="false">
      <c r="A2" s="7" t="s">
        <v>98</v>
      </c>
      <c r="B2" s="7" t="s">
        <v>99</v>
      </c>
      <c r="C2" s="7" t="s">
        <v>84</v>
      </c>
      <c r="D2" s="7" t="s">
        <v>100</v>
      </c>
      <c r="E2" s="7" t="s">
        <v>101</v>
      </c>
      <c r="F2" s="7" t="s">
        <v>27</v>
      </c>
      <c r="G2" s="7" t="s">
        <v>102</v>
      </c>
      <c r="H2" s="7" t="s">
        <v>103</v>
      </c>
      <c r="I2" s="7" t="s">
        <v>104</v>
      </c>
      <c r="J2" s="7" t="s">
        <v>105</v>
      </c>
      <c r="K2" s="7" t="s">
        <v>106</v>
      </c>
      <c r="L2" s="7" t="s">
        <v>107</v>
      </c>
      <c r="M2" s="7" t="s">
        <v>108</v>
      </c>
      <c r="N2" s="7" t="s">
        <v>109</v>
      </c>
      <c r="O2" s="7" t="s">
        <v>110</v>
      </c>
      <c r="P2" s="7" t="s">
        <v>111</v>
      </c>
      <c r="Q2" s="7" t="s">
        <v>112</v>
      </c>
      <c r="R2" s="7" t="s">
        <v>113</v>
      </c>
      <c r="S2" s="7" t="s">
        <v>114</v>
      </c>
      <c r="T2" s="7" t="s">
        <v>115</v>
      </c>
      <c r="U2" s="7" t="s">
        <v>116</v>
      </c>
      <c r="V2" s="7" t="s">
        <v>117</v>
      </c>
      <c r="W2" s="7" t="s">
        <v>118</v>
      </c>
      <c r="X2" s="7" t="s">
        <v>119</v>
      </c>
      <c r="Y2" s="7" t="s">
        <v>120</v>
      </c>
      <c r="Z2" s="7" t="s">
        <v>121</v>
      </c>
      <c r="AA2" s="7" t="s">
        <v>122</v>
      </c>
      <c r="AB2" s="7" t="s">
        <v>123</v>
      </c>
      <c r="AC2" s="7" t="s">
        <v>124</v>
      </c>
      <c r="AD2" s="7" t="s">
        <v>86</v>
      </c>
      <c r="AE2" s="7" t="s">
        <v>125</v>
      </c>
      <c r="AF2" s="7" t="s">
        <v>126</v>
      </c>
    </row>
    <row r="3" customFormat="false" ht="37.5" hidden="false" customHeight="true" outlineLevel="0" collapsed="false">
      <c r="A3" s="8" t="s">
        <v>127</v>
      </c>
      <c r="B3" s="8" t="s">
        <v>128</v>
      </c>
      <c r="C3" s="8" t="s">
        <v>87</v>
      </c>
      <c r="D3" s="8" t="s">
        <v>35</v>
      </c>
      <c r="E3" s="8" t="s">
        <v>129</v>
      </c>
      <c r="F3" s="9" t="s">
        <v>130</v>
      </c>
      <c r="G3" s="9" t="s">
        <v>131</v>
      </c>
      <c r="H3" s="8" t="s">
        <v>132</v>
      </c>
      <c r="I3" s="8" t="s">
        <v>133</v>
      </c>
      <c r="J3" s="8" t="s">
        <v>134</v>
      </c>
      <c r="K3" s="8" t="s">
        <v>135</v>
      </c>
      <c r="L3" s="8" t="s">
        <v>136</v>
      </c>
      <c r="M3" s="8" t="s">
        <v>137</v>
      </c>
      <c r="N3" s="8" t="s">
        <v>138</v>
      </c>
      <c r="O3" s="8" t="s">
        <v>139</v>
      </c>
      <c r="P3" s="8" t="s">
        <v>140</v>
      </c>
      <c r="Q3" s="8" t="s">
        <v>141</v>
      </c>
      <c r="R3" s="8" t="s">
        <v>142</v>
      </c>
      <c r="S3" s="8" t="s">
        <v>143</v>
      </c>
      <c r="T3" s="9" t="s">
        <v>144</v>
      </c>
      <c r="U3" s="9" t="s">
        <v>145</v>
      </c>
      <c r="V3" s="9" t="s">
        <v>146</v>
      </c>
      <c r="W3" s="9" t="s">
        <v>147</v>
      </c>
      <c r="X3" s="9" t="s">
        <v>148</v>
      </c>
      <c r="Y3" s="9" t="s">
        <v>149</v>
      </c>
      <c r="Z3" s="9" t="s">
        <v>150</v>
      </c>
      <c r="AA3" s="9" t="s">
        <v>151</v>
      </c>
      <c r="AB3" s="9" t="s">
        <v>152</v>
      </c>
      <c r="AC3" s="8" t="s">
        <v>44</v>
      </c>
      <c r="AD3" s="8" t="s">
        <v>89</v>
      </c>
      <c r="AE3" s="9" t="s">
        <v>153</v>
      </c>
      <c r="AF3" s="9" t="s">
        <v>154</v>
      </c>
    </row>
    <row r="4" customFormat="false" ht="15" hidden="false" customHeight="false" outlineLevel="0" collapsed="false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  <c r="K4" s="10" t="s">
        <v>155</v>
      </c>
      <c r="L4" s="10" t="s">
        <v>156</v>
      </c>
      <c r="M4" s="10" t="s">
        <v>157</v>
      </c>
      <c r="N4" s="10" t="s">
        <v>158</v>
      </c>
      <c r="O4" s="10" t="s">
        <v>159</v>
      </c>
      <c r="P4" s="10" t="s">
        <v>160</v>
      </c>
      <c r="Q4" s="10" t="s">
        <v>161</v>
      </c>
      <c r="R4" s="10" t="s">
        <v>162</v>
      </c>
      <c r="S4" s="10" t="s">
        <v>163</v>
      </c>
      <c r="T4" s="10" t="s">
        <v>164</v>
      </c>
      <c r="U4" s="10" t="s">
        <v>165</v>
      </c>
      <c r="V4" s="10" t="s">
        <v>166</v>
      </c>
      <c r="W4" s="10" t="s">
        <v>167</v>
      </c>
      <c r="X4" s="10" t="s">
        <v>168</v>
      </c>
      <c r="Y4" s="10" t="s">
        <v>169</v>
      </c>
      <c r="Z4" s="10" t="s">
        <v>170</v>
      </c>
      <c r="AA4" s="10" t="s">
        <v>171</v>
      </c>
      <c r="AB4" s="10" t="s">
        <v>172</v>
      </c>
      <c r="AC4" s="10" t="s">
        <v>173</v>
      </c>
      <c r="AD4" s="10" t="s">
        <v>174</v>
      </c>
      <c r="AE4" s="10" t="s">
        <v>175</v>
      </c>
      <c r="AF4" s="10" t="s">
        <v>176</v>
      </c>
    </row>
    <row r="5" customFormat="false" ht="15" hidden="false" customHeight="false" outlineLevel="0" collapsed="false">
      <c r="A5" s="15" t="n">
        <v>46295</v>
      </c>
      <c r="B5" s="12" t="s">
        <v>72</v>
      </c>
      <c r="C5" s="11" t="s">
        <v>90</v>
      </c>
      <c r="D5" s="11" t="s">
        <v>55</v>
      </c>
      <c r="E5" s="16" t="n">
        <v>100</v>
      </c>
      <c r="F5" s="13" t="n">
        <f aca="false">IF(D5="","",IFERROR(INDEX(CAU_HINH_CA!$C$5:$C$50,MATCH(D5,CAU_HINH_CA!$A$5:$A$50,0)),""))</f>
        <v>8</v>
      </c>
      <c r="G5" s="17" t="n">
        <f aca="false">IF(OR(F5="",E5=""),"",ROUND(F5*E5,0))</f>
        <v>800</v>
      </c>
      <c r="H5" s="16" t="n">
        <v>100</v>
      </c>
      <c r="I5" s="16" t="n">
        <v>90</v>
      </c>
      <c r="J5" s="16" t="n">
        <v>110</v>
      </c>
      <c r="K5" s="16"/>
      <c r="L5" s="16"/>
      <c r="M5" s="16"/>
      <c r="N5" s="16"/>
      <c r="O5" s="16"/>
      <c r="P5" s="16"/>
      <c r="Q5" s="16"/>
      <c r="R5" s="16"/>
      <c r="S5" s="16"/>
      <c r="T5" s="17" t="n">
        <f aca="false">IF(COUNT(H5:S5)=0,"",SUM(H5:S5))</f>
        <v>300</v>
      </c>
      <c r="U5" s="18" t="n">
        <f aca="false">IF(OR(T5="",N(G5)=0),"",T5/G5)</f>
        <v>0.375</v>
      </c>
      <c r="V5" s="19" t="n">
        <f aca="false">IF(OR(T5="",G5=""),"",T5-G5)</f>
        <v>-500</v>
      </c>
      <c r="W5" s="17" t="n">
        <f aca="false">IF(OR(T5="",G5=""),"",MAX(0,G5-T5))</f>
        <v>500</v>
      </c>
      <c r="X5" s="20" t="n">
        <f aca="false">IF(A5="","",COUNT(H5:S5))</f>
        <v>3</v>
      </c>
      <c r="Y5" s="17" t="n">
        <f aca="false">IF(OR(X5="",E5="",G5=""),"",MIN(G5,X5*E5))</f>
        <v>300</v>
      </c>
      <c r="Z5" s="18" t="n">
        <f aca="false">IF(OR(T5="",N(Y5)=0),"",T5/Y5)</f>
        <v>1</v>
      </c>
      <c r="AA5" s="21" t="n">
        <f aca="false">IF(OR(A5="",B5=""),"",IF(SUMPRODUCT(MAX(($B$5:$B$10004=B5)*($A$5:$A$10004&lt;A5)*$A$5:$A$10004))=0,"",SUMPRODUCT(MAX(($B$5:$B$10004=B5)*($A$5:$A$10004&lt;A5)*$A$5:$A$10004))))</f>
        <v>46294</v>
      </c>
      <c r="AB5" s="17" t="n">
        <f aca="false">IF(N(AA5)=0,"",SUMIFS($W$5:$W$10004,$B$5:$B$10004,B5,$A$5:$A$10004,AA5))</f>
        <v>40</v>
      </c>
      <c r="AC5" s="12" t="s">
        <v>177</v>
      </c>
      <c r="AD5" s="12"/>
      <c r="AE5" s="22" t="str">
        <f aca="false">IF(AF5="","",IF(COUNTIF($AF$5:$AF$10004,AF5)&gt;1,"TRÙNG NGÀY + CHUYỀN",IF(G5="","THIẾU MÃ CA / MỤC TIÊU GIỜ",IF(COUNTIFS(MUC_TIEU_THANG!$B$5:$B$2004,C5,MUC_TIEU_THANG!$A$5:$A$2004,"&gt;="&amp;DATE(YEAR(A5),MONTH(A5),1),MUC_TIEU_THANG!$A$5:$A$2004,"&lt;"&amp;DATE(YEAR(A5),MONTH(A5)+1,1))=0,"CHƯA CÓ MỤC TIÊU THÁNG","OK"))))</f>
        <v>OK</v>
      </c>
      <c r="AF5" s="22" t="str">
        <f aca="false">IF(OR(A5="",B5=""),"",B5&amp;"|"&amp;A5)</f>
        <v>Chuyền 1|46295</v>
      </c>
    </row>
    <row r="6" customFormat="false" ht="15" hidden="false" customHeight="false" outlineLevel="0" collapsed="false">
      <c r="A6" s="15" t="n">
        <v>46295</v>
      </c>
      <c r="B6" s="12" t="s">
        <v>74</v>
      </c>
      <c r="C6" s="11" t="s">
        <v>91</v>
      </c>
      <c r="D6" s="11" t="s">
        <v>60</v>
      </c>
      <c r="E6" s="16" t="n">
        <v>100</v>
      </c>
      <c r="F6" s="13" t="n">
        <f aca="false">IF(D6="","",IFERROR(INDEX(CAU_HINH_CA!$C$5:$C$50,MATCH(D6,CAU_HINH_CA!$A$5:$A$50,0)),""))</f>
        <v>10</v>
      </c>
      <c r="G6" s="17" t="n">
        <f aca="false">IF(OR(F6="",E6=""),"",ROUND(F6*E6,0))</f>
        <v>1000</v>
      </c>
      <c r="H6" s="16" t="n">
        <v>100</v>
      </c>
      <c r="I6" s="16" t="n">
        <v>100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7" t="n">
        <f aca="false">IF(COUNT(H6:S6)=0,"",SUM(H6:S6))</f>
        <v>200</v>
      </c>
      <c r="U6" s="18" t="n">
        <f aca="false">IF(OR(T6="",N(G6)=0),"",T6/G6)</f>
        <v>0.2</v>
      </c>
      <c r="V6" s="19" t="n">
        <f aca="false">IF(OR(T6="",G6=""),"",T6-G6)</f>
        <v>-800</v>
      </c>
      <c r="W6" s="17" t="n">
        <f aca="false">IF(OR(T6="",G6=""),"",MAX(0,G6-T6))</f>
        <v>800</v>
      </c>
      <c r="X6" s="20" t="n">
        <f aca="false">IF(A6="","",COUNT(H6:S6))</f>
        <v>2</v>
      </c>
      <c r="Y6" s="17" t="n">
        <f aca="false">IF(OR(X6="",E6="",G6=""),"",MIN(G6,X6*E6))</f>
        <v>200</v>
      </c>
      <c r="Z6" s="18" t="n">
        <f aca="false">IF(OR(T6="",N(Y6)=0),"",T6/Y6)</f>
        <v>1</v>
      </c>
      <c r="AA6" s="21" t="n">
        <f aca="false">IF(OR(A6="",B6=""),"",IF(SUMPRODUCT(MAX(($B$5:$B$10004=B6)*($A$5:$A$10004&lt;A6)*$A$5:$A$10004))=0,"",SUMPRODUCT(MAX(($B$5:$B$10004=B6)*($A$5:$A$10004&lt;A6)*$A$5:$A$10004))))</f>
        <v>46294</v>
      </c>
      <c r="AB6" s="17" t="n">
        <f aca="false">IF(N(AA6)=0,"",SUMIFS($W$5:$W$10004,$B$5:$B$10004,B6,$A$5:$A$10004,AA6))</f>
        <v>0</v>
      </c>
      <c r="AC6" s="12" t="s">
        <v>177</v>
      </c>
      <c r="AD6" s="12"/>
      <c r="AE6" s="22" t="str">
        <f aca="false">IF(AF6="","",IF(COUNTIF($AF$5:$AF$10004,AF6)&gt;1,"TRÙNG NGÀY + CHUYỀN",IF(G6="","THIẾU MÃ CA / MỤC TIÊU GIỜ",IF(COUNTIFS(MUC_TIEU_THANG!$B$5:$B$2004,C6,MUC_TIEU_THANG!$A$5:$A$2004,"&gt;="&amp;DATE(YEAR(A6),MONTH(A6),1),MUC_TIEU_THANG!$A$5:$A$2004,"&lt;"&amp;DATE(YEAR(A6),MONTH(A6)+1,1))=0,"CHƯA CÓ MỤC TIÊU THÁNG","OK"))))</f>
        <v>OK</v>
      </c>
      <c r="AF6" s="22" t="str">
        <f aca="false">IF(OR(A6="",B6=""),"",B6&amp;"|"&amp;A6)</f>
        <v>Chuyền 2|46295</v>
      </c>
    </row>
    <row r="7" customFormat="false" ht="15" hidden="false" customHeight="false" outlineLevel="0" collapsed="false">
      <c r="A7" s="15" t="n">
        <v>46295</v>
      </c>
      <c r="B7" s="12" t="s">
        <v>76</v>
      </c>
      <c r="C7" s="11" t="s">
        <v>92</v>
      </c>
      <c r="D7" s="11" t="s">
        <v>62</v>
      </c>
      <c r="E7" s="16" t="n">
        <v>185</v>
      </c>
      <c r="F7" s="13" t="n">
        <f aca="false">IF(D7="","",IFERROR(INDEX(CAU_HINH_CA!$C$5:$C$50,MATCH(D7,CAU_HINH_CA!$A$5:$A$50,0)),""))</f>
        <v>11.5</v>
      </c>
      <c r="G7" s="17" t="n">
        <f aca="false">IF(OR(F7="",E7=""),"",ROUND(F7*E7,0))</f>
        <v>2128</v>
      </c>
      <c r="H7" s="16" t="n">
        <v>180</v>
      </c>
      <c r="I7" s="16" t="n">
        <v>185</v>
      </c>
      <c r="J7" s="16" t="n">
        <v>190</v>
      </c>
      <c r="K7" s="16" t="n">
        <v>170</v>
      </c>
      <c r="L7" s="16"/>
      <c r="M7" s="16"/>
      <c r="N7" s="16"/>
      <c r="O7" s="16"/>
      <c r="P7" s="16"/>
      <c r="Q7" s="16"/>
      <c r="R7" s="16"/>
      <c r="S7" s="16"/>
      <c r="T7" s="17" t="n">
        <f aca="false">IF(COUNT(H7:S7)=0,"",SUM(H7:S7))</f>
        <v>725</v>
      </c>
      <c r="U7" s="18" t="n">
        <f aca="false">IF(OR(T7="",N(G7)=0),"",T7/G7)</f>
        <v>0.340695488721805</v>
      </c>
      <c r="V7" s="19" t="n">
        <f aca="false">IF(OR(T7="",G7=""),"",T7-G7)</f>
        <v>-1403</v>
      </c>
      <c r="W7" s="17" t="n">
        <f aca="false">IF(OR(T7="",G7=""),"",MAX(0,G7-T7))</f>
        <v>1403</v>
      </c>
      <c r="X7" s="20" t="n">
        <f aca="false">IF(A7="","",COUNT(H7:S7))</f>
        <v>4</v>
      </c>
      <c r="Y7" s="17" t="n">
        <f aca="false">IF(OR(X7="",E7="",G7=""),"",MIN(G7,X7*E7))</f>
        <v>740</v>
      </c>
      <c r="Z7" s="18" t="n">
        <f aca="false">IF(OR(T7="",N(Y7)=0),"",T7/Y7)</f>
        <v>0.97972972972973</v>
      </c>
      <c r="AA7" s="21" t="n">
        <f aca="false">IF(OR(A7="",B7=""),"",IF(SUMPRODUCT(MAX(($B$5:$B$10004=B7)*($A$5:$A$10004&lt;A7)*$A$5:$A$10004))=0,"",SUMPRODUCT(MAX(($B$5:$B$10004=B7)*($A$5:$A$10004&lt;A7)*$A$5:$A$10004))))</f>
        <v>46294</v>
      </c>
      <c r="AB7" s="17" t="n">
        <f aca="false">IF(N(AA7)=0,"",SUMIFS($W$5:$W$10004,$B$5:$B$10004,B7,$A$5:$A$10004,AA7))</f>
        <v>0</v>
      </c>
      <c r="AC7" s="12" t="s">
        <v>177</v>
      </c>
      <c r="AD7" s="12"/>
      <c r="AE7" s="22" t="str">
        <f aca="false">IF(AF7="","",IF(COUNTIF($AF$5:$AF$10004,AF7)&gt;1,"TRÙNG NGÀY + CHUYỀN",IF(G7="","THIẾU MÃ CA / MỤC TIÊU GIỜ",IF(COUNTIFS(MUC_TIEU_THANG!$B$5:$B$2004,C7,MUC_TIEU_THANG!$A$5:$A$2004,"&gt;="&amp;DATE(YEAR(A7),MONTH(A7),1),MUC_TIEU_THANG!$A$5:$A$2004,"&lt;"&amp;DATE(YEAR(A7),MONTH(A7)+1,1))=0,"CHƯA CÓ MỤC TIÊU THÁNG","OK"))))</f>
        <v>OK</v>
      </c>
      <c r="AF7" s="22" t="str">
        <f aca="false">IF(OR(A7="",B7=""),"",B7&amp;"|"&amp;A7)</f>
        <v>Chuyền 3|46295</v>
      </c>
    </row>
    <row r="8" customFormat="false" ht="15" hidden="false" customHeight="false" outlineLevel="0" collapsed="false">
      <c r="A8" s="15" t="n">
        <v>46295</v>
      </c>
      <c r="B8" s="12" t="s">
        <v>78</v>
      </c>
      <c r="C8" s="11" t="s">
        <v>95</v>
      </c>
      <c r="D8" s="11" t="s">
        <v>58</v>
      </c>
      <c r="E8" s="16" t="n">
        <v>100</v>
      </c>
      <c r="F8" s="13" t="n">
        <f aca="false">IF(D8="","",IFERROR(INDEX(CAU_HINH_CA!$C$5:$C$50,MATCH(D8,CAU_HINH_CA!$A$5:$A$50,0)),""))</f>
        <v>9</v>
      </c>
      <c r="G8" s="17" t="n">
        <f aca="false">IF(OR(F8="",E8=""),"",ROUND(F8*E8,0))</f>
        <v>900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7" t="str">
        <f aca="false">IF(COUNT(H8:S8)=0,"",SUM(H8:S8))</f>
        <v/>
      </c>
      <c r="U8" s="18" t="str">
        <f aca="false">IF(OR(T8="",N(G8)=0),"",T8/G8)</f>
        <v/>
      </c>
      <c r="V8" s="19" t="str">
        <f aca="false">IF(OR(T8="",G8=""),"",T8-G8)</f>
        <v/>
      </c>
      <c r="W8" s="17" t="str">
        <f aca="false">IF(OR(T8="",G8=""),"",MAX(0,G8-T8))</f>
        <v/>
      </c>
      <c r="X8" s="20" t="n">
        <f aca="false">IF(A8="","",COUNT(H8:S8))</f>
        <v>0</v>
      </c>
      <c r="Y8" s="17" t="n">
        <f aca="false">IF(OR(X8="",E8="",G8=""),"",MIN(G8,X8*E8))</f>
        <v>0</v>
      </c>
      <c r="Z8" s="18" t="str">
        <f aca="false">IF(OR(T8="",N(Y8)=0),"",T8/Y8)</f>
        <v/>
      </c>
      <c r="AA8" s="21" t="str">
        <f aca="false">IF(OR(A8="",B8=""),"",IF(SUMPRODUCT(MAX(($B$5:$B$10004=B8)*($A$5:$A$10004&lt;A8)*$A$5:$A$10004))=0,"",SUMPRODUCT(MAX(($B$5:$B$10004=B8)*($A$5:$A$10004&lt;A8)*$A$5:$A$10004))))</f>
        <v/>
      </c>
      <c r="AB8" s="17" t="str">
        <f aca="false">IF(N(AA8)=0,"",SUMIFS($W$5:$W$10004,$B$5:$B$10004,B8,$A$5:$A$10004,AA8))</f>
        <v/>
      </c>
      <c r="AC8" s="12" t="s">
        <v>177</v>
      </c>
      <c r="AD8" s="12"/>
      <c r="AE8" s="22" t="str">
        <f aca="false">IF(AF8="","",IF(COUNTIF($AF$5:$AF$10004,AF8)&gt;1,"TRÙNG NGÀY + CHUYỀN",IF(G8="","THIẾU MÃ CA / MỤC TIÊU GIỜ",IF(COUNTIFS(MUC_TIEU_THANG!$B$5:$B$2004,C8,MUC_TIEU_THANG!$A$5:$A$2004,"&gt;="&amp;DATE(YEAR(A8),MONTH(A8),1),MUC_TIEU_THANG!$A$5:$A$2004,"&lt;"&amp;DATE(YEAR(A8),MONTH(A8)+1,1))=0,"CHƯA CÓ MỤC TIÊU THÁNG","OK"))))</f>
        <v>CHƯA CÓ MỤC TIÊU THÁNG</v>
      </c>
      <c r="AF8" s="22" t="str">
        <f aca="false">IF(OR(A8="",B8=""),"",B8&amp;"|"&amp;A8)</f>
        <v>Chuyền 4|46295</v>
      </c>
    </row>
    <row r="9" customFormat="false" ht="15" hidden="false" customHeight="false" outlineLevel="0" collapsed="false">
      <c r="A9" s="15" t="n">
        <v>46295</v>
      </c>
      <c r="B9" s="12" t="s">
        <v>82</v>
      </c>
      <c r="C9" s="11" t="s">
        <v>93</v>
      </c>
      <c r="D9" s="11" t="s">
        <v>60</v>
      </c>
      <c r="E9" s="16" t="n">
        <v>40</v>
      </c>
      <c r="F9" s="13" t="n">
        <f aca="false">IF(D9="","",IFERROR(INDEX(CAU_HINH_CA!$C$5:$C$50,MATCH(D9,CAU_HINH_CA!$A$5:$A$50,0)),""))</f>
        <v>10</v>
      </c>
      <c r="G9" s="17" t="n">
        <f aca="false">IF(OR(F9="",E9=""),"",ROUND(F9*E9,0))</f>
        <v>400</v>
      </c>
      <c r="H9" s="16" t="n">
        <v>40</v>
      </c>
      <c r="I9" s="16" t="n">
        <v>40</v>
      </c>
      <c r="J9" s="16" t="n">
        <v>40</v>
      </c>
      <c r="K9" s="16" t="n">
        <v>40</v>
      </c>
      <c r="L9" s="16" t="n">
        <v>40</v>
      </c>
      <c r="M9" s="16"/>
      <c r="N9" s="16"/>
      <c r="O9" s="16"/>
      <c r="P9" s="16"/>
      <c r="Q9" s="16"/>
      <c r="R9" s="16"/>
      <c r="S9" s="16"/>
      <c r="T9" s="17" t="n">
        <f aca="false">IF(COUNT(H9:S9)=0,"",SUM(H9:S9))</f>
        <v>200</v>
      </c>
      <c r="U9" s="18" t="n">
        <f aca="false">IF(OR(T9="",N(G9)=0),"",T9/G9)</f>
        <v>0.5</v>
      </c>
      <c r="V9" s="19" t="n">
        <f aca="false">IF(OR(T9="",G9=""),"",T9-G9)</f>
        <v>-200</v>
      </c>
      <c r="W9" s="17" t="n">
        <f aca="false">IF(OR(T9="",G9=""),"",MAX(0,G9-T9))</f>
        <v>200</v>
      </c>
      <c r="X9" s="20" t="n">
        <f aca="false">IF(A9="","",COUNT(H9:S9))</f>
        <v>5</v>
      </c>
      <c r="Y9" s="17" t="n">
        <f aca="false">IF(OR(X9="",E9="",G9=""),"",MIN(G9,X9*E9))</f>
        <v>200</v>
      </c>
      <c r="Z9" s="18" t="n">
        <f aca="false">IF(OR(T9="",N(Y9)=0),"",T9/Y9)</f>
        <v>1</v>
      </c>
      <c r="AA9" s="21" t="n">
        <f aca="false">IF(OR(A9="",B9=""),"",IF(SUMPRODUCT(MAX(($B$5:$B$10004=B9)*($A$5:$A$10004&lt;A9)*$A$5:$A$10004))=0,"",SUMPRODUCT(MAX(($B$5:$B$10004=B9)*($A$5:$A$10004&lt;A9)*$A$5:$A$10004))))</f>
        <v>46294</v>
      </c>
      <c r="AB9" s="17" t="n">
        <f aca="false">IF(N(AA9)=0,"",SUMIFS($W$5:$W$10004,$B$5:$B$10004,B9,$A$5:$A$10004,AA9))</f>
        <v>0</v>
      </c>
      <c r="AC9" s="12" t="s">
        <v>177</v>
      </c>
      <c r="AD9" s="12"/>
      <c r="AE9" s="22" t="str">
        <f aca="false">IF(AF9="","",IF(COUNTIF($AF$5:$AF$10004,AF9)&gt;1,"TRÙNG NGÀY + CHUYỀN",IF(G9="","THIẾU MÃ CA / MỤC TIÊU GIỜ",IF(COUNTIFS(MUC_TIEU_THANG!$B$5:$B$2004,C9,MUC_TIEU_THANG!$A$5:$A$2004,"&gt;="&amp;DATE(YEAR(A9),MONTH(A9),1),MUC_TIEU_THANG!$A$5:$A$2004,"&lt;"&amp;DATE(YEAR(A9),MONTH(A9)+1,1))=0,"CHƯA CÓ MỤC TIÊU THÁNG","OK"))))</f>
        <v>OK</v>
      </c>
      <c r="AF9" s="22" t="str">
        <f aca="false">IF(OR(A9="",B9=""),"",B9&amp;"|"&amp;A9)</f>
        <v>Chuyền 6|46295</v>
      </c>
    </row>
    <row r="10" customFormat="false" ht="15" hidden="false" customHeight="false" outlineLevel="0" collapsed="false">
      <c r="A10" s="23" t="n">
        <v>46294</v>
      </c>
      <c r="B10" s="24" t="s">
        <v>72</v>
      </c>
      <c r="C10" s="24" t="s">
        <v>90</v>
      </c>
      <c r="D10" s="24" t="s">
        <v>55</v>
      </c>
      <c r="E10" s="0" t="n">
        <v>100</v>
      </c>
      <c r="F10" s="25" t="n">
        <f aca="false">IF(D10="","",IFERROR(INDEX(CAU_HINH_CA!$C$5:$C$50,MATCH(D10,CAU_HINH_CA!$A$5:$A$50,0)),""))</f>
        <v>8</v>
      </c>
      <c r="G10" s="26" t="n">
        <f aca="false">IF(OR(F10="",E10=""),"",ROUND(F10*E10,0))</f>
        <v>800</v>
      </c>
      <c r="H10" s="0" t="n">
        <v>95</v>
      </c>
      <c r="I10" s="0" t="n">
        <v>95</v>
      </c>
      <c r="J10" s="0" t="n">
        <v>95</v>
      </c>
      <c r="K10" s="0" t="n">
        <v>95</v>
      </c>
      <c r="L10" s="0" t="n">
        <v>95</v>
      </c>
      <c r="M10" s="0" t="n">
        <v>95</v>
      </c>
      <c r="N10" s="0" t="n">
        <v>95</v>
      </c>
      <c r="O10" s="0" t="n">
        <v>95</v>
      </c>
      <c r="T10" s="26" t="n">
        <f aca="false">IF(COUNT(H10:S10)=0,"",SUM(H10:S10))</f>
        <v>760</v>
      </c>
      <c r="U10" s="26" t="n">
        <f aca="false">IF(OR(T10="",N(G10)=0),"",T10/G10)</f>
        <v>0.95</v>
      </c>
      <c r="V10" s="26" t="n">
        <f aca="false">IF(OR(T10="",G10=""),"",T10-G10)</f>
        <v>-40</v>
      </c>
      <c r="W10" s="26" t="n">
        <f aca="false">IF(OR(T10="",G10=""),"",MAX(0,G10-T10))</f>
        <v>40</v>
      </c>
      <c r="X10" s="26" t="n">
        <f aca="false">IF(A10="","",COUNT(H10:S10))</f>
        <v>8</v>
      </c>
      <c r="Y10" s="26" t="n">
        <f aca="false">IF(OR(X10="",E10="",G10=""),"",MIN(G10,X10*E10))</f>
        <v>800</v>
      </c>
      <c r="Z10" s="26" t="n">
        <f aca="false">IF(OR(T10="",N(Y10)=0),"",T10/Y10)</f>
        <v>0.95</v>
      </c>
      <c r="AA10" s="0" t="str">
        <f aca="false">IF(OR(A10="",B10=""),"",IF(SUMPRODUCT(MAX(($B$5:$B$10004=B10)*($A$5:$A$10004&lt;A10)*$A$5:$A$10004))=0,"",SUMPRODUCT(MAX(($B$5:$B$10004=B10)*($A$5:$A$10004&lt;A10)*$A$5:$A$10004))))</f>
        <v/>
      </c>
      <c r="AB10" s="0" t="str">
        <f aca="false">IF(N(AA10)=0,"",SUMIFS($W$5:$W$10004,$B$5:$B$10004,B10,$A$5:$A$10004,AA10))</f>
        <v/>
      </c>
      <c r="AE10" s="0" t="str">
        <f aca="false">IF(AF10="","",IF(COUNTIF($AF$5:$AF$10004,AF10)&gt;1,"TRÙNG NGÀY + CHUYỀN",IF(G10="","THIẾU MÃ CA / MỤC TIÊU GIỜ",IF(COUNTIFS(MUC_TIEU_THANG!$B$5:$B$2004,C10,MUC_TIEU_THANG!$A$5:$A$2004,"&gt;="&amp;DATE(YEAR(A10),MONTH(A10),1),MUC_TIEU_THANG!$A$5:$A$2004,"&lt;"&amp;DATE(YEAR(A10),MONTH(A10)+1,1))=0,"CHƯA CÓ MỤC TIÊU THÁNG","OK"))))</f>
        <v>OK</v>
      </c>
      <c r="AF10" s="0" t="str">
        <f aca="false">IF(OR(A10="",B10=""),"",B10&amp;"|"&amp;A10)</f>
        <v>Chuyền 1|46294</v>
      </c>
    </row>
    <row r="11" customFormat="false" ht="15" hidden="false" customHeight="false" outlineLevel="0" collapsed="false">
      <c r="A11" s="23" t="n">
        <v>46294</v>
      </c>
      <c r="B11" s="24" t="s">
        <v>74</v>
      </c>
      <c r="C11" s="24" t="s">
        <v>91</v>
      </c>
      <c r="D11" s="24" t="s">
        <v>60</v>
      </c>
      <c r="E11" s="0" t="n">
        <v>100</v>
      </c>
      <c r="F11" s="25" t="n">
        <f aca="false">IF(D11="","",IFERROR(INDEX(CAU_HINH_CA!$C$5:$C$50,MATCH(D11,CAU_HINH_CA!$A$5:$A$50,0)),""))</f>
        <v>10</v>
      </c>
      <c r="G11" s="26" t="n">
        <f aca="false">IF(OR(F11="",E11=""),"",ROUND(F11*E11,0))</f>
        <v>1000</v>
      </c>
      <c r="H11" s="0" t="n">
        <v>100</v>
      </c>
      <c r="I11" s="0" t="n">
        <v>100</v>
      </c>
      <c r="J11" s="0" t="n">
        <v>100</v>
      </c>
      <c r="K11" s="0" t="n">
        <v>100</v>
      </c>
      <c r="L11" s="0" t="n">
        <v>100</v>
      </c>
      <c r="M11" s="0" t="n">
        <v>100</v>
      </c>
      <c r="N11" s="0" t="n">
        <v>100</v>
      </c>
      <c r="O11" s="0" t="n">
        <v>100</v>
      </c>
      <c r="P11" s="0" t="n">
        <v>100</v>
      </c>
      <c r="Q11" s="0" t="n">
        <v>100</v>
      </c>
      <c r="T11" s="26" t="n">
        <f aca="false">IF(COUNT(H11:S11)=0,"",SUM(H11:S11))</f>
        <v>1000</v>
      </c>
      <c r="U11" s="26" t="n">
        <f aca="false">IF(OR(T11="",N(G11)=0),"",T11/G11)</f>
        <v>1</v>
      </c>
      <c r="V11" s="26" t="n">
        <f aca="false">IF(OR(T11="",G11=""),"",T11-G11)</f>
        <v>0</v>
      </c>
      <c r="W11" s="26" t="n">
        <f aca="false">IF(OR(T11="",G11=""),"",MAX(0,G11-T11))</f>
        <v>0</v>
      </c>
      <c r="X11" s="26" t="n">
        <f aca="false">IF(A11="","",COUNT(H11:S11))</f>
        <v>10</v>
      </c>
      <c r="Y11" s="26" t="n">
        <f aca="false">IF(OR(X11="",E11="",G11=""),"",MIN(G11,X11*E11))</f>
        <v>1000</v>
      </c>
      <c r="Z11" s="26" t="n">
        <f aca="false">IF(OR(T11="",N(Y11)=0),"",T11/Y11)</f>
        <v>1</v>
      </c>
      <c r="AA11" s="26" t="n">
        <f aca="false">IF(OR(A11="",B11=""),"",IF(SUMPRODUCT(MAX(($B$5:$B$10004=B11)*($A$5:$A$10004&lt;A11)*$A$5:$A$10004))=0,"",SUMPRODUCT(MAX(($B$5:$B$10004=B11)*($A$5:$A$10004&lt;A11)*$A$5:$A$10004))))</f>
        <v>46293</v>
      </c>
      <c r="AB11" s="0" t="n">
        <f aca="false">IF(N(AA11)=0,"",SUMIFS($W$5:$W$10004,$B$5:$B$10004,B11,$A$5:$A$10004,AA11))</f>
        <v>100</v>
      </c>
      <c r="AE11" s="0" t="str">
        <f aca="false">IF(AF11="","",IF(COUNTIF($AF$5:$AF$10004,AF11)&gt;1,"TRÙNG NGÀY + CHUYỀN",IF(G11="","THIẾU MÃ CA / MỤC TIÊU GIỜ",IF(COUNTIFS(MUC_TIEU_THANG!$B$5:$B$2004,C11,MUC_TIEU_THANG!$A$5:$A$2004,"&gt;="&amp;DATE(YEAR(A11),MONTH(A11),1),MUC_TIEU_THANG!$A$5:$A$2004,"&lt;"&amp;DATE(YEAR(A11),MONTH(A11)+1,1))=0,"CHƯA CÓ MỤC TIÊU THÁNG","OK"))))</f>
        <v>OK</v>
      </c>
      <c r="AF11" s="0" t="str">
        <f aca="false">IF(OR(A11="",B11=""),"",B11&amp;"|"&amp;A11)</f>
        <v>Chuyền 2|46294</v>
      </c>
    </row>
    <row r="12" customFormat="false" ht="15" hidden="false" customHeight="false" outlineLevel="0" collapsed="false">
      <c r="A12" s="23" t="n">
        <v>46294</v>
      </c>
      <c r="B12" s="24" t="s">
        <v>76</v>
      </c>
      <c r="C12" s="24" t="s">
        <v>92</v>
      </c>
      <c r="D12" s="24" t="s">
        <v>62</v>
      </c>
      <c r="E12" s="0" t="n">
        <v>185</v>
      </c>
      <c r="F12" s="25" t="n">
        <f aca="false">IF(D12="","",IFERROR(INDEX(CAU_HINH_CA!$C$5:$C$50,MATCH(D12,CAU_HINH_CA!$A$5:$A$50,0)),""))</f>
        <v>11.5</v>
      </c>
      <c r="G12" s="26" t="n">
        <f aca="false">IF(OR(F12="",E12=""),"",ROUND(F12*E12,0))</f>
        <v>2128</v>
      </c>
      <c r="H12" s="0" t="n">
        <v>185</v>
      </c>
      <c r="I12" s="0" t="n">
        <v>185</v>
      </c>
      <c r="J12" s="0" t="n">
        <v>185</v>
      </c>
      <c r="K12" s="0" t="n">
        <v>185</v>
      </c>
      <c r="L12" s="0" t="n">
        <v>185</v>
      </c>
      <c r="M12" s="0" t="n">
        <v>185</v>
      </c>
      <c r="N12" s="0" t="n">
        <v>185</v>
      </c>
      <c r="O12" s="0" t="n">
        <v>185</v>
      </c>
      <c r="P12" s="0" t="n">
        <v>185</v>
      </c>
      <c r="Q12" s="0" t="n">
        <v>185</v>
      </c>
      <c r="R12" s="0" t="n">
        <v>185</v>
      </c>
      <c r="S12" s="0" t="n">
        <v>185</v>
      </c>
      <c r="T12" s="26" t="n">
        <f aca="false">IF(COUNT(H12:S12)=0,"",SUM(H12:S12))</f>
        <v>2220</v>
      </c>
      <c r="U12" s="26" t="n">
        <f aca="false">IF(OR(T12="",N(G12)=0),"",T12/G12)</f>
        <v>1.04323308270677</v>
      </c>
      <c r="V12" s="26" t="n">
        <f aca="false">IF(OR(T12="",G12=""),"",T12-G12)</f>
        <v>92</v>
      </c>
      <c r="W12" s="26" t="n">
        <f aca="false">IF(OR(T12="",G12=""),"",MAX(0,G12-T12))</f>
        <v>0</v>
      </c>
      <c r="X12" s="26" t="n">
        <f aca="false">IF(A12="","",COUNT(H12:S12))</f>
        <v>12</v>
      </c>
      <c r="Y12" s="26" t="n">
        <f aca="false">IF(OR(X12="",E12="",G12=""),"",MIN(G12,X12*E12))</f>
        <v>2128</v>
      </c>
      <c r="Z12" s="26" t="n">
        <f aca="false">IF(OR(T12="",N(Y12)=0),"",T12/Y12)</f>
        <v>1.04323308270677</v>
      </c>
      <c r="AA12" s="0" t="str">
        <f aca="false">IF(OR(A12="",B12=""),"",IF(SUMPRODUCT(MAX(($B$5:$B$10004=B12)*($A$5:$A$10004&lt;A12)*$A$5:$A$10004))=0,"",SUMPRODUCT(MAX(($B$5:$B$10004=B12)*($A$5:$A$10004&lt;A12)*$A$5:$A$10004))))</f>
        <v/>
      </c>
      <c r="AB12" s="0" t="str">
        <f aca="false">IF(N(AA12)=0,"",SUMIFS($W$5:$W$10004,$B$5:$B$10004,B12,$A$5:$A$10004,AA12))</f>
        <v/>
      </c>
      <c r="AE12" s="0" t="str">
        <f aca="false">IF(AF12="","",IF(COUNTIF($AF$5:$AF$10004,AF12)&gt;1,"TRÙNG NGÀY + CHUYỀN",IF(G12="","THIẾU MÃ CA / MỤC TIÊU GIỜ",IF(COUNTIFS(MUC_TIEU_THANG!$B$5:$B$2004,C12,MUC_TIEU_THANG!$A$5:$A$2004,"&gt;="&amp;DATE(YEAR(A12),MONTH(A12),1),MUC_TIEU_THANG!$A$5:$A$2004,"&lt;"&amp;DATE(YEAR(A12),MONTH(A12)+1,1))=0,"CHƯA CÓ MỤC TIÊU THÁNG","OK"))))</f>
        <v>OK</v>
      </c>
      <c r="AF12" s="0" t="str">
        <f aca="false">IF(OR(A12="",B12=""),"",B12&amp;"|"&amp;A12)</f>
        <v>Chuyền 3|46294</v>
      </c>
    </row>
    <row r="13" customFormat="false" ht="15" hidden="false" customHeight="false" outlineLevel="0" collapsed="false">
      <c r="A13" s="23" t="n">
        <v>46294</v>
      </c>
      <c r="B13" s="24" t="s">
        <v>82</v>
      </c>
      <c r="C13" s="24" t="s">
        <v>93</v>
      </c>
      <c r="D13" s="24" t="s">
        <v>60</v>
      </c>
      <c r="E13" s="0" t="n">
        <v>40</v>
      </c>
      <c r="F13" s="25" t="n">
        <f aca="false">IF(D13="","",IFERROR(INDEX(CAU_HINH_CA!$C$5:$C$50,MATCH(D13,CAU_HINH_CA!$A$5:$A$50,0)),""))</f>
        <v>10</v>
      </c>
      <c r="G13" s="26" t="n">
        <f aca="false">IF(OR(F13="",E13=""),"",ROUND(F13*E13,0))</f>
        <v>400</v>
      </c>
      <c r="H13" s="0" t="n">
        <v>50</v>
      </c>
      <c r="I13" s="0" t="n">
        <v>50</v>
      </c>
      <c r="J13" s="0" t="n">
        <v>50</v>
      </c>
      <c r="K13" s="0" t="n">
        <v>50</v>
      </c>
      <c r="L13" s="0" t="n">
        <v>50</v>
      </c>
      <c r="M13" s="0" t="n">
        <v>50</v>
      </c>
      <c r="N13" s="0" t="n">
        <v>50</v>
      </c>
      <c r="O13" s="0" t="n">
        <v>50</v>
      </c>
      <c r="P13" s="0" t="n">
        <v>50</v>
      </c>
      <c r="Q13" s="0" t="n">
        <v>50</v>
      </c>
      <c r="T13" s="26" t="n">
        <f aca="false">IF(COUNT(H13:S13)=0,"",SUM(H13:S13))</f>
        <v>500</v>
      </c>
      <c r="U13" s="26" t="n">
        <f aca="false">IF(OR(T13="",N(G13)=0),"",T13/G13)</f>
        <v>1.25</v>
      </c>
      <c r="V13" s="26" t="n">
        <f aca="false">IF(OR(T13="",G13=""),"",T13-G13)</f>
        <v>100</v>
      </c>
      <c r="W13" s="26" t="n">
        <f aca="false">IF(OR(T13="",G13=""),"",MAX(0,G13-T13))</f>
        <v>0</v>
      </c>
      <c r="X13" s="26" t="n">
        <f aca="false">IF(A13="","",COUNT(H13:S13))</f>
        <v>10</v>
      </c>
      <c r="Y13" s="26" t="n">
        <f aca="false">IF(OR(X13="",E13="",G13=""),"",MIN(G13,X13*E13))</f>
        <v>400</v>
      </c>
      <c r="Z13" s="26" t="n">
        <f aca="false">IF(OR(T13="",N(Y13)=0),"",T13/Y13)</f>
        <v>1.25</v>
      </c>
      <c r="AA13" s="0" t="str">
        <f aca="false">IF(OR(A13="",B13=""),"",IF(SUMPRODUCT(MAX(($B$5:$B$10004=B13)*($A$5:$A$10004&lt;A13)*$A$5:$A$10004))=0,"",SUMPRODUCT(MAX(($B$5:$B$10004=B13)*($A$5:$A$10004&lt;A13)*$A$5:$A$10004))))</f>
        <v/>
      </c>
      <c r="AB13" s="0" t="str">
        <f aca="false">IF(N(AA13)=0,"",SUMIFS($W$5:$W$10004,$B$5:$B$10004,B13,$A$5:$A$10004,AA13))</f>
        <v/>
      </c>
      <c r="AE13" s="0" t="str">
        <f aca="false">IF(AF13="","",IF(COUNTIF($AF$5:$AF$10004,AF13)&gt;1,"TRÙNG NGÀY + CHUYỀN",IF(G13="","THIẾU MÃ CA / MỤC TIÊU GIỜ",IF(COUNTIFS(MUC_TIEU_THANG!$B$5:$B$2004,C13,MUC_TIEU_THANG!$A$5:$A$2004,"&gt;="&amp;DATE(YEAR(A13),MONTH(A13),1),MUC_TIEU_THANG!$A$5:$A$2004,"&lt;"&amp;DATE(YEAR(A13),MONTH(A13)+1,1))=0,"CHƯA CÓ MỤC TIÊU THÁNG","OK"))))</f>
        <v>OK</v>
      </c>
      <c r="AF13" s="0" t="str">
        <f aca="false">IF(OR(A13="",B13=""),"",B13&amp;"|"&amp;A13)</f>
        <v>Chuyền 6|46294</v>
      </c>
    </row>
    <row r="14" customFormat="false" ht="15" hidden="false" customHeight="false" outlineLevel="0" collapsed="false">
      <c r="A14" s="23" t="n">
        <v>46293</v>
      </c>
      <c r="B14" s="24" t="s">
        <v>74</v>
      </c>
      <c r="C14" s="24" t="s">
        <v>91</v>
      </c>
      <c r="D14" s="24" t="s">
        <v>60</v>
      </c>
      <c r="E14" s="0" t="n">
        <v>100</v>
      </c>
      <c r="F14" s="25" t="n">
        <f aca="false">IF(D14="","",IFERROR(INDEX(CAU_HINH_CA!$C$5:$C$50,MATCH(D14,CAU_HINH_CA!$A$5:$A$50,0)),""))</f>
        <v>10</v>
      </c>
      <c r="G14" s="26" t="n">
        <f aca="false">IF(OR(F14="",E14=""),"",ROUND(F14*E14,0))</f>
        <v>1000</v>
      </c>
      <c r="H14" s="0" t="n">
        <v>90</v>
      </c>
      <c r="I14" s="0" t="n">
        <v>90</v>
      </c>
      <c r="J14" s="0" t="n">
        <v>90</v>
      </c>
      <c r="K14" s="0" t="n">
        <v>90</v>
      </c>
      <c r="L14" s="0" t="n">
        <v>90</v>
      </c>
      <c r="M14" s="0" t="n">
        <v>90</v>
      </c>
      <c r="N14" s="0" t="n">
        <v>90</v>
      </c>
      <c r="O14" s="0" t="n">
        <v>90</v>
      </c>
      <c r="P14" s="0" t="n">
        <v>90</v>
      </c>
      <c r="Q14" s="0" t="n">
        <v>90</v>
      </c>
      <c r="T14" s="26" t="n">
        <f aca="false">IF(COUNT(H14:S14)=0,"",SUM(H14:S14))</f>
        <v>900</v>
      </c>
      <c r="U14" s="26" t="n">
        <f aca="false">IF(OR(T14="",N(G14)=0),"",T14/G14)</f>
        <v>0.9</v>
      </c>
      <c r="V14" s="26" t="n">
        <f aca="false">IF(OR(T14="",G14=""),"",T14-G14)</f>
        <v>-100</v>
      </c>
      <c r="W14" s="26" t="n">
        <f aca="false">IF(OR(T14="",G14=""),"",MAX(0,G14-T14))</f>
        <v>100</v>
      </c>
      <c r="X14" s="26" t="n">
        <f aca="false">IF(A14="","",COUNT(H14:S14))</f>
        <v>10</v>
      </c>
      <c r="Y14" s="26" t="n">
        <f aca="false">IF(OR(X14="",E14="",G14=""),"",MIN(G14,X14*E14))</f>
        <v>1000</v>
      </c>
      <c r="Z14" s="26" t="n">
        <f aca="false">IF(OR(T14="",N(Y14)=0),"",T14/Y14)</f>
        <v>0.9</v>
      </c>
      <c r="AA14" s="0" t="str">
        <f aca="false">IF(OR(A14="",B14=""),"",IF(SUMPRODUCT(MAX(($B$5:$B$10004=B14)*($A$5:$A$10004&lt;A14)*$A$5:$A$10004))=0,"",SUMPRODUCT(MAX(($B$5:$B$10004=B14)*($A$5:$A$10004&lt;A14)*$A$5:$A$10004))))</f>
        <v/>
      </c>
      <c r="AB14" s="0" t="str">
        <f aca="false">IF(N(AA14)=0,"",SUMIFS($W$5:$W$10004,$B$5:$B$10004,B14,$A$5:$A$10004,AA14))</f>
        <v/>
      </c>
      <c r="AE14" s="0" t="str">
        <f aca="false">IF(AF14="","",IF(COUNTIF($AF$5:$AF$10004,AF14)&gt;1,"TRÙNG NGÀY + CHUYỀN",IF(G14="","THIẾU MÃ CA / MỤC TIÊU GIỜ",IF(COUNTIFS(MUC_TIEU_THANG!$B$5:$B$2004,C14,MUC_TIEU_THANG!$A$5:$A$2004,"&gt;="&amp;DATE(YEAR(A14),MONTH(A14),1),MUC_TIEU_THANG!$A$5:$A$2004,"&lt;"&amp;DATE(YEAR(A14),MONTH(A14)+1,1))=0,"CHƯA CÓ MỤC TIÊU THÁNG","OK"))))</f>
        <v>OK</v>
      </c>
      <c r="AF14" s="0" t="str">
        <f aca="false">IF(OR(A14="",B14=""),"",B14&amp;"|"&amp;A14)</f>
        <v>Chuyền 2|46293</v>
      </c>
    </row>
    <row r="15" customFormat="false" ht="15" hidden="false" customHeight="false" outlineLevel="0" collapsed="false">
      <c r="A15" s="23" t="n">
        <v>46295</v>
      </c>
      <c r="B15" s="24" t="s">
        <v>80</v>
      </c>
      <c r="C15" s="24" t="s">
        <v>92</v>
      </c>
      <c r="D15" s="24" t="s">
        <v>55</v>
      </c>
      <c r="E15" s="0" t="n">
        <v>10</v>
      </c>
      <c r="F15" s="25" t="n">
        <f aca="false">IF(D15="","",IFERROR(INDEX(CAU_HINH_CA!$C$5:$C$50,MATCH(D15,CAU_HINH_CA!$A$5:$A$50,0)),""))</f>
        <v>8</v>
      </c>
      <c r="G15" s="26" t="n">
        <f aca="false">IF(OR(F15="",E15=""),"",ROUND(F15*E15,0))</f>
        <v>80</v>
      </c>
      <c r="T15" s="0" t="str">
        <f aca="false">IF(COUNT(H15:S15)=0,"",SUM(H15:S15))</f>
        <v/>
      </c>
      <c r="U15" s="26" t="str">
        <f aca="false">IF(OR(T15="",N(G15)=0),"",T15/G15)</f>
        <v/>
      </c>
      <c r="V15" s="0" t="str">
        <f aca="false">IF(OR(T15="",G15=""),"",T15-G15)</f>
        <v/>
      </c>
      <c r="W15" s="0" t="str">
        <f aca="false">IF(OR(T15="",G15=""),"",MAX(0,G15-T15))</f>
        <v/>
      </c>
      <c r="X15" s="26" t="n">
        <f aca="false">IF(A15="","",COUNT(H15:S15))</f>
        <v>0</v>
      </c>
      <c r="Y15" s="26" t="n">
        <f aca="false">IF(OR(X15="",E15="",G15=""),"",MIN(G15,X15*E15))</f>
        <v>0</v>
      </c>
      <c r="Z15" s="26" t="str">
        <f aca="false">IF(OR(T15="",N(Y15)=0),"",T15/Y15)</f>
        <v/>
      </c>
      <c r="AA15" s="0" t="str">
        <f aca="false">IF(OR(A15="",B15=""),"",IF(SUMPRODUCT(MAX(($B$5:$B$10004=B15)*($A$5:$A$10004&lt;A15)*$A$5:$A$10004))=0,"",SUMPRODUCT(MAX(($B$5:$B$10004=B15)*($A$5:$A$10004&lt;A15)*$A$5:$A$10004))))</f>
        <v/>
      </c>
      <c r="AB15" s="0" t="str">
        <f aca="false">IF(N(AA15)=0,"",SUMIFS($W$5:$W$10004,$B$5:$B$10004,B15,$A$5:$A$10004,AA15))</f>
        <v/>
      </c>
      <c r="AE15" s="0" t="str">
        <f aca="false">IF(AF15="","",IF(COUNTIF($AF$5:$AF$10004,AF15)&gt;1,"TRÙNG NGÀY + CHUYỀN",IF(G15="","THIẾU MÃ CA / MỤC TIÊU GIỜ",IF(COUNTIFS(MUC_TIEU_THANG!$B$5:$B$2004,C15,MUC_TIEU_THANG!$A$5:$A$2004,"&gt;="&amp;DATE(YEAR(A15),MONTH(A15),1),MUC_TIEU_THANG!$A$5:$A$2004,"&lt;"&amp;DATE(YEAR(A15),MONTH(A15)+1,1))=0,"CHƯA CÓ MỤC TIÊU THÁNG","OK"))))</f>
        <v>TRÙNG NGÀY + CHUYỀN</v>
      </c>
      <c r="AF15" s="0" t="str">
        <f aca="false">IF(OR(A15="",B15=""),"",B15&amp;"|"&amp;A15)</f>
        <v>Chuyền 5|46295</v>
      </c>
    </row>
    <row r="16" customFormat="false" ht="15" hidden="false" customHeight="false" outlineLevel="0" collapsed="false">
      <c r="A16" s="23" t="n">
        <v>46295</v>
      </c>
      <c r="B16" s="24" t="s">
        <v>80</v>
      </c>
      <c r="C16" s="24" t="s">
        <v>92</v>
      </c>
      <c r="D16" s="24" t="s">
        <v>55</v>
      </c>
      <c r="E16" s="0" t="n">
        <v>10</v>
      </c>
      <c r="F16" s="25" t="n">
        <f aca="false">IF(D16="","",IFERROR(INDEX(CAU_HINH_CA!$C$5:$C$50,MATCH(D16,CAU_HINH_CA!$A$5:$A$50,0)),""))</f>
        <v>8</v>
      </c>
      <c r="G16" s="26" t="n">
        <f aca="false">IF(OR(F16="",E16=""),"",ROUND(F16*E16,0))</f>
        <v>80</v>
      </c>
      <c r="H16" s="0" t="n">
        <v>5</v>
      </c>
      <c r="T16" s="26" t="n">
        <f aca="false">IF(COUNT(H16:S16)=0,"",SUM(H16:S16))</f>
        <v>5</v>
      </c>
      <c r="U16" s="26" t="n">
        <f aca="false">IF(OR(T16="",N(G16)=0),"",T16/G16)</f>
        <v>0.0625</v>
      </c>
      <c r="V16" s="26" t="n">
        <f aca="false">IF(OR(T16="",G16=""),"",T16-G16)</f>
        <v>-75</v>
      </c>
      <c r="W16" s="26" t="n">
        <f aca="false">IF(OR(T16="",G16=""),"",MAX(0,G16-T16))</f>
        <v>75</v>
      </c>
      <c r="X16" s="26" t="n">
        <f aca="false">IF(A16="","",COUNT(H16:S16))</f>
        <v>1</v>
      </c>
      <c r="Y16" s="26" t="n">
        <f aca="false">IF(OR(X16="",E16="",G16=""),"",MIN(G16,X16*E16))</f>
        <v>10</v>
      </c>
      <c r="Z16" s="26" t="n">
        <f aca="false">IF(OR(T16="",N(Y16)=0),"",T16/Y16)</f>
        <v>0.5</v>
      </c>
      <c r="AA16" s="0" t="str">
        <f aca="false">IF(OR(A16="",B16=""),"",IF(SUMPRODUCT(MAX(($B$5:$B$10004=B16)*($A$5:$A$10004&lt;A16)*$A$5:$A$10004))=0,"",SUMPRODUCT(MAX(($B$5:$B$10004=B16)*($A$5:$A$10004&lt;A16)*$A$5:$A$10004))))</f>
        <v/>
      </c>
      <c r="AB16" s="0" t="str">
        <f aca="false">IF(N(AA16)=0,"",SUMIFS($W$5:$W$10004,$B$5:$B$10004,B16,$A$5:$A$10004,AA16))</f>
        <v/>
      </c>
      <c r="AE16" s="0" t="str">
        <f aca="false">IF(AF16="","",IF(COUNTIF($AF$5:$AF$10004,AF16)&gt;1,"TRÙNG NGÀY + CHUYỀN",IF(G16="","THIẾU MÃ CA / MỤC TIÊU GIỜ",IF(COUNTIFS(MUC_TIEU_THANG!$B$5:$B$2004,C16,MUC_TIEU_THANG!$A$5:$A$2004,"&gt;="&amp;DATE(YEAR(A16),MONTH(A16),1),MUC_TIEU_THANG!$A$5:$A$2004,"&lt;"&amp;DATE(YEAR(A16),MONTH(A16)+1,1))=0,"CHƯA CÓ MỤC TIÊU THÁNG","OK"))))</f>
        <v>TRÙNG NGÀY + CHUYỀN</v>
      </c>
      <c r="AF16" s="0" t="str">
        <f aca="false">IF(OR(A16="",B16=""),"",B16&amp;"|"&amp;A16)</f>
        <v>Chuyền 5|46295</v>
      </c>
    </row>
    <row r="17" customFormat="false" ht="15" hidden="false" customHeight="false" outlineLevel="0" collapsed="false">
      <c r="B17" s="24"/>
      <c r="C17" s="24"/>
      <c r="D17" s="24"/>
      <c r="U17" s="26"/>
      <c r="Z17" s="26"/>
    </row>
    <row r="18" customFormat="false" ht="15" hidden="false" customHeight="false" outlineLevel="0" collapsed="false">
      <c r="B18" s="24"/>
      <c r="C18" s="24"/>
      <c r="D18" s="24"/>
      <c r="U18" s="26"/>
      <c r="Z18" s="26"/>
    </row>
    <row r="19" customFormat="false" ht="15" hidden="false" customHeight="false" outlineLevel="0" collapsed="false">
      <c r="B19" s="24"/>
      <c r="C19" s="24"/>
      <c r="D19" s="24"/>
      <c r="U19" s="26"/>
      <c r="Z19" s="26"/>
    </row>
    <row r="20" customFormat="false" ht="15" hidden="false" customHeight="false" outlineLevel="0" collapsed="false">
      <c r="B20" s="24"/>
      <c r="C20" s="24"/>
      <c r="D20" s="24"/>
      <c r="U20" s="26"/>
      <c r="Z20" s="26"/>
    </row>
    <row r="21" customFormat="false" ht="15" hidden="false" customHeight="false" outlineLevel="0" collapsed="false">
      <c r="B21" s="24"/>
      <c r="C21" s="24"/>
      <c r="D21" s="24"/>
      <c r="U21" s="26"/>
      <c r="Z21" s="26"/>
    </row>
    <row r="22" customFormat="false" ht="15" hidden="false" customHeight="false" outlineLevel="0" collapsed="false">
      <c r="B22" s="24"/>
      <c r="C22" s="24"/>
      <c r="D22" s="24"/>
      <c r="U22" s="26"/>
      <c r="Z22" s="26"/>
    </row>
    <row r="23" customFormat="false" ht="15" hidden="false" customHeight="false" outlineLevel="0" collapsed="false">
      <c r="B23" s="24"/>
      <c r="C23" s="24"/>
      <c r="D23" s="24"/>
      <c r="U23" s="26"/>
      <c r="Z23" s="26"/>
    </row>
    <row r="24" customFormat="false" ht="15" hidden="false" customHeight="false" outlineLevel="0" collapsed="false">
      <c r="B24" s="24"/>
      <c r="C24" s="24"/>
      <c r="D24" s="24"/>
      <c r="U24" s="26"/>
      <c r="Z24" s="26"/>
    </row>
    <row r="25" customFormat="false" ht="15" hidden="false" customHeight="false" outlineLevel="0" collapsed="false">
      <c r="B25" s="24"/>
      <c r="C25" s="24"/>
      <c r="D25" s="24"/>
      <c r="U25" s="26"/>
      <c r="Z25" s="26"/>
    </row>
    <row r="26" customFormat="false" ht="15" hidden="false" customHeight="false" outlineLevel="0" collapsed="false">
      <c r="B26" s="24"/>
      <c r="C26" s="24"/>
      <c r="D26" s="24"/>
      <c r="U26" s="26"/>
      <c r="Z26" s="26"/>
    </row>
    <row r="27" customFormat="false" ht="15" hidden="false" customHeight="false" outlineLevel="0" collapsed="false">
      <c r="B27" s="24"/>
      <c r="C27" s="24"/>
      <c r="D27" s="24"/>
      <c r="U27" s="26"/>
      <c r="Z27" s="26"/>
    </row>
    <row r="28" customFormat="false" ht="15" hidden="false" customHeight="false" outlineLevel="0" collapsed="false">
      <c r="B28" s="24"/>
      <c r="C28" s="24"/>
      <c r="D28" s="24"/>
      <c r="U28" s="26"/>
      <c r="Z28" s="26"/>
    </row>
    <row r="29" customFormat="false" ht="15" hidden="false" customHeight="false" outlineLevel="0" collapsed="false">
      <c r="B29" s="24"/>
      <c r="C29" s="24"/>
      <c r="D29" s="24"/>
      <c r="U29" s="26"/>
      <c r="Z29" s="26"/>
    </row>
    <row r="30" customFormat="false" ht="15" hidden="false" customHeight="false" outlineLevel="0" collapsed="false">
      <c r="B30" s="24"/>
      <c r="C30" s="24"/>
      <c r="D30" s="24"/>
      <c r="U30" s="26"/>
      <c r="Z30" s="26"/>
    </row>
    <row r="31" customFormat="false" ht="15" hidden="false" customHeight="false" outlineLevel="0" collapsed="false">
      <c r="B31" s="24"/>
      <c r="C31" s="24"/>
      <c r="D31" s="24"/>
      <c r="U31" s="26"/>
      <c r="Z31" s="26"/>
    </row>
    <row r="32" customFormat="false" ht="15" hidden="false" customHeight="false" outlineLevel="0" collapsed="false">
      <c r="B32" s="24"/>
      <c r="C32" s="24"/>
      <c r="D32" s="24"/>
      <c r="U32" s="26"/>
      <c r="Z32" s="26"/>
    </row>
    <row r="33" customFormat="false" ht="15" hidden="false" customHeight="false" outlineLevel="0" collapsed="false">
      <c r="B33" s="24"/>
      <c r="C33" s="24"/>
      <c r="D33" s="24"/>
      <c r="U33" s="26"/>
      <c r="Z33" s="26"/>
    </row>
    <row r="34" customFormat="false" ht="15" hidden="false" customHeight="false" outlineLevel="0" collapsed="false">
      <c r="B34" s="24"/>
      <c r="C34" s="24"/>
      <c r="D34" s="24"/>
      <c r="U34" s="26"/>
      <c r="Z34" s="26"/>
    </row>
    <row r="35" customFormat="false" ht="15" hidden="false" customHeight="false" outlineLevel="0" collapsed="false">
      <c r="B35" s="24"/>
      <c r="C35" s="24"/>
      <c r="D35" s="24"/>
      <c r="U35" s="26"/>
      <c r="Z35" s="26"/>
    </row>
    <row r="36" customFormat="false" ht="15" hidden="false" customHeight="false" outlineLevel="0" collapsed="false">
      <c r="B36" s="24"/>
      <c r="C36" s="24"/>
      <c r="D36" s="24"/>
      <c r="U36" s="26"/>
      <c r="Z36" s="26"/>
    </row>
    <row r="37" customFormat="false" ht="15" hidden="false" customHeight="false" outlineLevel="0" collapsed="false">
      <c r="B37" s="24"/>
      <c r="C37" s="24"/>
      <c r="D37" s="24"/>
      <c r="U37" s="26"/>
      <c r="Z37" s="26"/>
    </row>
    <row r="38" customFormat="false" ht="15" hidden="false" customHeight="false" outlineLevel="0" collapsed="false">
      <c r="B38" s="24"/>
      <c r="C38" s="24"/>
      <c r="D38" s="24"/>
      <c r="U38" s="26"/>
      <c r="Z38" s="26"/>
    </row>
    <row r="39" customFormat="false" ht="15" hidden="false" customHeight="false" outlineLevel="0" collapsed="false">
      <c r="B39" s="24"/>
      <c r="C39" s="24"/>
      <c r="D39" s="24"/>
      <c r="U39" s="26"/>
      <c r="Z39" s="26"/>
    </row>
    <row r="40" customFormat="false" ht="15" hidden="false" customHeight="false" outlineLevel="0" collapsed="false">
      <c r="B40" s="24"/>
      <c r="C40" s="24"/>
      <c r="D40" s="24"/>
      <c r="U40" s="26"/>
      <c r="Z40" s="26"/>
    </row>
    <row r="41" customFormat="false" ht="15" hidden="false" customHeight="false" outlineLevel="0" collapsed="false">
      <c r="B41" s="24"/>
      <c r="C41" s="24"/>
      <c r="D41" s="24"/>
      <c r="U41" s="26"/>
      <c r="Z41" s="26"/>
    </row>
    <row r="42" customFormat="false" ht="15" hidden="false" customHeight="false" outlineLevel="0" collapsed="false">
      <c r="B42" s="24"/>
      <c r="C42" s="24"/>
      <c r="D42" s="24"/>
      <c r="U42" s="26"/>
      <c r="Z42" s="26"/>
    </row>
    <row r="43" customFormat="false" ht="15" hidden="false" customHeight="false" outlineLevel="0" collapsed="false">
      <c r="B43" s="24"/>
      <c r="C43" s="24"/>
      <c r="D43" s="24"/>
      <c r="U43" s="26"/>
      <c r="Z43" s="26"/>
    </row>
    <row r="44" customFormat="false" ht="15" hidden="false" customHeight="false" outlineLevel="0" collapsed="false">
      <c r="B44" s="24"/>
      <c r="C44" s="24"/>
      <c r="D44" s="24"/>
      <c r="U44" s="26"/>
      <c r="Z44" s="26"/>
    </row>
    <row r="45" customFormat="false" ht="15" hidden="false" customHeight="false" outlineLevel="0" collapsed="false">
      <c r="B45" s="24"/>
      <c r="C45" s="24"/>
      <c r="D45" s="24"/>
      <c r="U45" s="26"/>
      <c r="Z45" s="26"/>
    </row>
    <row r="46" customFormat="false" ht="15" hidden="false" customHeight="false" outlineLevel="0" collapsed="false">
      <c r="B46" s="24"/>
      <c r="C46" s="24"/>
      <c r="D46" s="24"/>
      <c r="U46" s="26"/>
      <c r="Z46" s="26"/>
    </row>
    <row r="47" customFormat="false" ht="15" hidden="false" customHeight="false" outlineLevel="0" collapsed="false">
      <c r="B47" s="24"/>
      <c r="C47" s="24"/>
      <c r="D47" s="24"/>
      <c r="U47" s="26"/>
      <c r="Z47" s="26"/>
    </row>
    <row r="48" customFormat="false" ht="15" hidden="false" customHeight="false" outlineLevel="0" collapsed="false">
      <c r="B48" s="24"/>
      <c r="C48" s="24"/>
      <c r="D48" s="24"/>
      <c r="U48" s="26"/>
      <c r="Z48" s="26"/>
    </row>
    <row r="49" customFormat="false" ht="15" hidden="false" customHeight="false" outlineLevel="0" collapsed="false">
      <c r="B49" s="24"/>
      <c r="C49" s="24"/>
      <c r="D49" s="24"/>
      <c r="U49" s="26"/>
      <c r="Z49" s="26"/>
    </row>
    <row r="50" customFormat="false" ht="15" hidden="false" customHeight="false" outlineLevel="0" collapsed="false">
      <c r="B50" s="24"/>
      <c r="C50" s="24"/>
      <c r="D50" s="24"/>
      <c r="U50" s="26"/>
      <c r="Z50" s="26"/>
    </row>
    <row r="51" customFormat="false" ht="15" hidden="false" customHeight="false" outlineLevel="0" collapsed="false">
      <c r="B51" s="24"/>
      <c r="C51" s="24"/>
      <c r="D51" s="24"/>
      <c r="U51" s="26"/>
      <c r="Z51" s="26"/>
    </row>
    <row r="52" customFormat="false" ht="15" hidden="false" customHeight="false" outlineLevel="0" collapsed="false">
      <c r="B52" s="24"/>
      <c r="C52" s="24"/>
      <c r="D52" s="24"/>
      <c r="U52" s="26"/>
      <c r="Z52" s="26"/>
    </row>
    <row r="53" customFormat="false" ht="15" hidden="false" customHeight="false" outlineLevel="0" collapsed="false">
      <c r="B53" s="24"/>
      <c r="C53" s="24"/>
      <c r="D53" s="24"/>
      <c r="U53" s="26"/>
      <c r="Z53" s="26"/>
    </row>
    <row r="54" customFormat="false" ht="15" hidden="false" customHeight="false" outlineLevel="0" collapsed="false">
      <c r="B54" s="24"/>
      <c r="C54" s="24"/>
      <c r="D54" s="24"/>
      <c r="U54" s="26"/>
      <c r="Z54" s="26"/>
    </row>
    <row r="55" customFormat="false" ht="15" hidden="false" customHeight="false" outlineLevel="0" collapsed="false">
      <c r="B55" s="24"/>
      <c r="C55" s="24"/>
      <c r="D55" s="24"/>
      <c r="U55" s="26"/>
      <c r="Z55" s="26"/>
    </row>
    <row r="56" customFormat="false" ht="15" hidden="false" customHeight="false" outlineLevel="0" collapsed="false">
      <c r="B56" s="24"/>
      <c r="C56" s="24"/>
      <c r="D56" s="24"/>
      <c r="U56" s="26"/>
      <c r="Z56" s="26"/>
    </row>
    <row r="57" customFormat="false" ht="15" hidden="false" customHeight="false" outlineLevel="0" collapsed="false">
      <c r="B57" s="24"/>
      <c r="C57" s="24"/>
      <c r="D57" s="24"/>
      <c r="U57" s="26"/>
      <c r="Z57" s="26"/>
    </row>
    <row r="58" customFormat="false" ht="15" hidden="false" customHeight="false" outlineLevel="0" collapsed="false">
      <c r="B58" s="24"/>
      <c r="C58" s="24"/>
      <c r="D58" s="24"/>
      <c r="U58" s="26"/>
      <c r="Z58" s="26"/>
    </row>
    <row r="59" customFormat="false" ht="15" hidden="false" customHeight="false" outlineLevel="0" collapsed="false">
      <c r="B59" s="24"/>
      <c r="C59" s="24"/>
      <c r="D59" s="24"/>
      <c r="U59" s="26"/>
      <c r="Z59" s="26"/>
    </row>
    <row r="60" customFormat="false" ht="15" hidden="false" customHeight="false" outlineLevel="0" collapsed="false">
      <c r="B60" s="24"/>
      <c r="C60" s="24"/>
      <c r="D60" s="24"/>
      <c r="U60" s="26"/>
      <c r="Z60" s="26"/>
    </row>
    <row r="61" customFormat="false" ht="15" hidden="false" customHeight="false" outlineLevel="0" collapsed="false">
      <c r="B61" s="24"/>
      <c r="C61" s="24"/>
      <c r="D61" s="24"/>
      <c r="U61" s="26"/>
      <c r="Z61" s="26"/>
    </row>
    <row r="62" customFormat="false" ht="15" hidden="false" customHeight="false" outlineLevel="0" collapsed="false">
      <c r="B62" s="24"/>
      <c r="C62" s="24"/>
      <c r="D62" s="24"/>
      <c r="U62" s="26"/>
      <c r="Z62" s="26"/>
    </row>
    <row r="63" customFormat="false" ht="15" hidden="false" customHeight="false" outlineLevel="0" collapsed="false">
      <c r="B63" s="24"/>
      <c r="C63" s="24"/>
      <c r="D63" s="24"/>
      <c r="U63" s="26"/>
      <c r="Z63" s="26"/>
    </row>
    <row r="64" customFormat="false" ht="15" hidden="false" customHeight="false" outlineLevel="0" collapsed="false">
      <c r="B64" s="24"/>
      <c r="C64" s="24"/>
      <c r="D64" s="24"/>
      <c r="U64" s="26"/>
      <c r="Z64" s="26"/>
    </row>
    <row r="65" customFormat="false" ht="15" hidden="false" customHeight="false" outlineLevel="0" collapsed="false">
      <c r="B65" s="24"/>
      <c r="C65" s="24"/>
      <c r="D65" s="24"/>
      <c r="U65" s="26"/>
      <c r="Z65" s="26"/>
    </row>
    <row r="66" customFormat="false" ht="15" hidden="false" customHeight="false" outlineLevel="0" collapsed="false">
      <c r="B66" s="24"/>
      <c r="C66" s="24"/>
      <c r="D66" s="24"/>
      <c r="U66" s="26"/>
      <c r="Z66" s="26"/>
    </row>
    <row r="67" customFormat="false" ht="15" hidden="false" customHeight="false" outlineLevel="0" collapsed="false">
      <c r="B67" s="24"/>
      <c r="C67" s="24"/>
      <c r="D67" s="24"/>
      <c r="U67" s="26"/>
      <c r="Z67" s="26"/>
    </row>
    <row r="68" customFormat="false" ht="15" hidden="false" customHeight="false" outlineLevel="0" collapsed="false">
      <c r="B68" s="24"/>
      <c r="C68" s="24"/>
      <c r="D68" s="24"/>
      <c r="U68" s="26"/>
      <c r="Z68" s="26"/>
    </row>
    <row r="69" customFormat="false" ht="15" hidden="false" customHeight="false" outlineLevel="0" collapsed="false">
      <c r="B69" s="24"/>
      <c r="C69" s="24"/>
      <c r="D69" s="24"/>
      <c r="U69" s="26"/>
      <c r="Z69" s="26"/>
    </row>
    <row r="70" customFormat="false" ht="15" hidden="false" customHeight="false" outlineLevel="0" collapsed="false">
      <c r="B70" s="24"/>
      <c r="C70" s="24"/>
      <c r="D70" s="24"/>
      <c r="U70" s="26"/>
      <c r="Z70" s="26"/>
    </row>
    <row r="71" customFormat="false" ht="15" hidden="false" customHeight="false" outlineLevel="0" collapsed="false">
      <c r="B71" s="24"/>
      <c r="C71" s="24"/>
      <c r="D71" s="24"/>
      <c r="U71" s="26"/>
      <c r="Z71" s="26"/>
    </row>
    <row r="72" customFormat="false" ht="15" hidden="false" customHeight="false" outlineLevel="0" collapsed="false">
      <c r="B72" s="24"/>
      <c r="C72" s="24"/>
      <c r="D72" s="24"/>
      <c r="U72" s="26"/>
      <c r="Z72" s="26"/>
    </row>
    <row r="73" customFormat="false" ht="15" hidden="false" customHeight="false" outlineLevel="0" collapsed="false">
      <c r="B73" s="24"/>
      <c r="C73" s="24"/>
      <c r="D73" s="24"/>
      <c r="U73" s="26"/>
      <c r="Z73" s="26"/>
    </row>
    <row r="74" customFormat="false" ht="15" hidden="false" customHeight="false" outlineLevel="0" collapsed="false">
      <c r="B74" s="24"/>
      <c r="C74" s="24"/>
      <c r="D74" s="24"/>
      <c r="U74" s="26"/>
      <c r="Z74" s="26"/>
    </row>
    <row r="75" customFormat="false" ht="15" hidden="false" customHeight="false" outlineLevel="0" collapsed="false">
      <c r="B75" s="24"/>
      <c r="C75" s="24"/>
      <c r="D75" s="24"/>
      <c r="U75" s="26"/>
      <c r="Z75" s="26"/>
    </row>
    <row r="76" customFormat="false" ht="15" hidden="false" customHeight="false" outlineLevel="0" collapsed="false">
      <c r="B76" s="24"/>
      <c r="C76" s="24"/>
      <c r="D76" s="24"/>
      <c r="U76" s="26"/>
      <c r="Z76" s="26"/>
    </row>
    <row r="77" customFormat="false" ht="15" hidden="false" customHeight="false" outlineLevel="0" collapsed="false">
      <c r="B77" s="24"/>
      <c r="C77" s="24"/>
      <c r="D77" s="24"/>
      <c r="U77" s="26"/>
      <c r="Z77" s="26"/>
    </row>
    <row r="78" customFormat="false" ht="15" hidden="false" customHeight="false" outlineLevel="0" collapsed="false">
      <c r="B78" s="24"/>
      <c r="C78" s="24"/>
      <c r="D78" s="24"/>
      <c r="U78" s="26"/>
      <c r="Z78" s="26"/>
    </row>
    <row r="79" customFormat="false" ht="15" hidden="false" customHeight="false" outlineLevel="0" collapsed="false">
      <c r="B79" s="24"/>
      <c r="C79" s="24"/>
      <c r="D79" s="24"/>
      <c r="U79" s="26"/>
      <c r="Z79" s="26"/>
    </row>
    <row r="80" customFormat="false" ht="15" hidden="false" customHeight="false" outlineLevel="0" collapsed="false">
      <c r="B80" s="24"/>
      <c r="C80" s="24"/>
      <c r="D80" s="24"/>
      <c r="U80" s="26"/>
      <c r="Z80" s="26"/>
    </row>
    <row r="81" customFormat="false" ht="15" hidden="false" customHeight="false" outlineLevel="0" collapsed="false">
      <c r="B81" s="24"/>
      <c r="C81" s="24"/>
      <c r="D81" s="24"/>
      <c r="U81" s="26"/>
      <c r="Z81" s="26"/>
    </row>
    <row r="82" customFormat="false" ht="15" hidden="false" customHeight="false" outlineLevel="0" collapsed="false">
      <c r="B82" s="24"/>
      <c r="C82" s="24"/>
      <c r="D82" s="24"/>
      <c r="U82" s="26"/>
      <c r="Z82" s="26"/>
    </row>
    <row r="83" customFormat="false" ht="15" hidden="false" customHeight="false" outlineLevel="0" collapsed="false">
      <c r="B83" s="24"/>
      <c r="C83" s="24"/>
      <c r="D83" s="24"/>
      <c r="U83" s="26"/>
      <c r="Z83" s="26"/>
    </row>
    <row r="84" customFormat="false" ht="15" hidden="false" customHeight="false" outlineLevel="0" collapsed="false">
      <c r="B84" s="24"/>
      <c r="C84" s="24"/>
      <c r="D84" s="24"/>
      <c r="U84" s="26"/>
      <c r="Z84" s="26"/>
    </row>
    <row r="85" customFormat="false" ht="15" hidden="false" customHeight="false" outlineLevel="0" collapsed="false">
      <c r="B85" s="24"/>
      <c r="C85" s="24"/>
      <c r="D85" s="24"/>
      <c r="U85" s="26"/>
      <c r="Z85" s="26"/>
    </row>
    <row r="86" customFormat="false" ht="15" hidden="false" customHeight="false" outlineLevel="0" collapsed="false">
      <c r="B86" s="24"/>
      <c r="C86" s="24"/>
      <c r="D86" s="24"/>
      <c r="U86" s="26"/>
      <c r="Z86" s="26"/>
    </row>
    <row r="87" customFormat="false" ht="15" hidden="false" customHeight="false" outlineLevel="0" collapsed="false">
      <c r="B87" s="24"/>
      <c r="C87" s="24"/>
      <c r="D87" s="24"/>
      <c r="U87" s="26"/>
      <c r="Z87" s="26"/>
    </row>
    <row r="88" customFormat="false" ht="15" hidden="false" customHeight="false" outlineLevel="0" collapsed="false">
      <c r="B88" s="24"/>
      <c r="C88" s="24"/>
      <c r="D88" s="24"/>
      <c r="U88" s="26"/>
      <c r="Z88" s="26"/>
    </row>
    <row r="89" customFormat="false" ht="15" hidden="false" customHeight="false" outlineLevel="0" collapsed="false">
      <c r="B89" s="24"/>
      <c r="C89" s="24"/>
      <c r="D89" s="24"/>
      <c r="U89" s="26"/>
      <c r="Z89" s="26"/>
    </row>
    <row r="90" customFormat="false" ht="15" hidden="false" customHeight="false" outlineLevel="0" collapsed="false">
      <c r="B90" s="24"/>
      <c r="C90" s="24"/>
      <c r="D90" s="24"/>
      <c r="U90" s="26"/>
      <c r="Z90" s="26"/>
    </row>
    <row r="91" customFormat="false" ht="15" hidden="false" customHeight="false" outlineLevel="0" collapsed="false">
      <c r="B91" s="24"/>
      <c r="C91" s="24"/>
      <c r="D91" s="24"/>
      <c r="U91" s="26"/>
      <c r="Z91" s="26"/>
    </row>
    <row r="92" customFormat="false" ht="15" hidden="false" customHeight="false" outlineLevel="0" collapsed="false">
      <c r="B92" s="24"/>
      <c r="C92" s="24"/>
      <c r="D92" s="24"/>
      <c r="U92" s="26"/>
      <c r="Z92" s="26"/>
    </row>
    <row r="93" customFormat="false" ht="15" hidden="false" customHeight="false" outlineLevel="0" collapsed="false">
      <c r="B93" s="24"/>
      <c r="C93" s="24"/>
      <c r="D93" s="24"/>
      <c r="U93" s="26"/>
      <c r="Z93" s="26"/>
    </row>
    <row r="94" customFormat="false" ht="15" hidden="false" customHeight="false" outlineLevel="0" collapsed="false">
      <c r="B94" s="24"/>
      <c r="C94" s="24"/>
      <c r="D94" s="24"/>
      <c r="U94" s="26"/>
      <c r="Z94" s="26"/>
    </row>
    <row r="95" customFormat="false" ht="15" hidden="false" customHeight="false" outlineLevel="0" collapsed="false">
      <c r="B95" s="24"/>
      <c r="C95" s="24"/>
      <c r="D95" s="24"/>
      <c r="U95" s="26"/>
      <c r="Z95" s="26"/>
    </row>
    <row r="96" customFormat="false" ht="15" hidden="false" customHeight="false" outlineLevel="0" collapsed="false">
      <c r="B96" s="24"/>
      <c r="C96" s="24"/>
      <c r="D96" s="24"/>
      <c r="U96" s="26"/>
      <c r="Z96" s="26"/>
    </row>
    <row r="97" customFormat="false" ht="15" hidden="false" customHeight="false" outlineLevel="0" collapsed="false">
      <c r="B97" s="24"/>
      <c r="C97" s="24"/>
      <c r="D97" s="24"/>
      <c r="U97" s="26"/>
      <c r="Z97" s="26"/>
    </row>
    <row r="98" customFormat="false" ht="15" hidden="false" customHeight="false" outlineLevel="0" collapsed="false">
      <c r="B98" s="24"/>
      <c r="C98" s="24"/>
      <c r="D98" s="24"/>
      <c r="U98" s="26"/>
      <c r="Z98" s="26"/>
    </row>
    <row r="99" customFormat="false" ht="15" hidden="false" customHeight="false" outlineLevel="0" collapsed="false">
      <c r="B99" s="24"/>
      <c r="C99" s="24"/>
      <c r="D99" s="24"/>
      <c r="U99" s="26"/>
      <c r="Z99" s="26"/>
    </row>
    <row r="100" customFormat="false" ht="15" hidden="false" customHeight="false" outlineLevel="0" collapsed="false">
      <c r="B100" s="24"/>
      <c r="C100" s="24"/>
      <c r="D100" s="24"/>
      <c r="U100" s="26"/>
      <c r="Z100" s="26"/>
    </row>
    <row r="101" customFormat="false" ht="15" hidden="false" customHeight="false" outlineLevel="0" collapsed="false">
      <c r="B101" s="24"/>
      <c r="C101" s="24"/>
      <c r="D101" s="24"/>
      <c r="U101" s="26"/>
      <c r="Z101" s="26"/>
    </row>
    <row r="102" customFormat="false" ht="15" hidden="false" customHeight="false" outlineLevel="0" collapsed="false">
      <c r="B102" s="24"/>
      <c r="C102" s="24"/>
      <c r="D102" s="24"/>
      <c r="U102" s="26"/>
      <c r="Z102" s="26"/>
    </row>
    <row r="103" customFormat="false" ht="15" hidden="false" customHeight="false" outlineLevel="0" collapsed="false">
      <c r="B103" s="24"/>
      <c r="C103" s="24"/>
      <c r="D103" s="24"/>
      <c r="U103" s="26"/>
      <c r="Z103" s="26"/>
    </row>
    <row r="104" customFormat="false" ht="15" hidden="false" customHeight="false" outlineLevel="0" collapsed="false">
      <c r="B104" s="24"/>
      <c r="C104" s="24"/>
      <c r="D104" s="24"/>
      <c r="U104" s="26"/>
      <c r="Z104" s="26"/>
    </row>
    <row r="105" customFormat="false" ht="15" hidden="false" customHeight="false" outlineLevel="0" collapsed="false">
      <c r="B105" s="24"/>
      <c r="C105" s="24"/>
      <c r="D105" s="24"/>
      <c r="U105" s="26"/>
      <c r="Z105" s="26"/>
    </row>
    <row r="106" customFormat="false" ht="15" hidden="false" customHeight="false" outlineLevel="0" collapsed="false">
      <c r="B106" s="24"/>
      <c r="C106" s="24"/>
      <c r="D106" s="24"/>
      <c r="U106" s="26"/>
      <c r="Z106" s="26"/>
    </row>
    <row r="107" customFormat="false" ht="15" hidden="false" customHeight="false" outlineLevel="0" collapsed="false">
      <c r="B107" s="24"/>
      <c r="C107" s="24"/>
      <c r="D107" s="24"/>
      <c r="U107" s="26"/>
      <c r="Z107" s="26"/>
    </row>
    <row r="108" customFormat="false" ht="15" hidden="false" customHeight="false" outlineLevel="0" collapsed="false">
      <c r="B108" s="24"/>
      <c r="C108" s="24"/>
      <c r="D108" s="24"/>
      <c r="U108" s="26"/>
      <c r="Z108" s="26"/>
    </row>
    <row r="109" customFormat="false" ht="15" hidden="false" customHeight="false" outlineLevel="0" collapsed="false">
      <c r="B109" s="24"/>
      <c r="C109" s="24"/>
      <c r="D109" s="24"/>
      <c r="U109" s="26"/>
      <c r="Z109" s="26"/>
    </row>
    <row r="110" customFormat="false" ht="15" hidden="false" customHeight="false" outlineLevel="0" collapsed="false">
      <c r="B110" s="24"/>
      <c r="C110" s="24"/>
      <c r="D110" s="24"/>
      <c r="U110" s="26"/>
      <c r="Z110" s="26"/>
    </row>
    <row r="111" customFormat="false" ht="15" hidden="false" customHeight="false" outlineLevel="0" collapsed="false">
      <c r="B111" s="24"/>
      <c r="C111" s="24"/>
      <c r="D111" s="24"/>
      <c r="U111" s="26"/>
      <c r="Z111" s="26"/>
    </row>
    <row r="112" customFormat="false" ht="15" hidden="false" customHeight="false" outlineLevel="0" collapsed="false">
      <c r="B112" s="24"/>
      <c r="C112" s="24"/>
      <c r="D112" s="24"/>
      <c r="U112" s="26"/>
      <c r="Z112" s="26"/>
    </row>
    <row r="113" customFormat="false" ht="15" hidden="false" customHeight="false" outlineLevel="0" collapsed="false">
      <c r="B113" s="24"/>
      <c r="C113" s="24"/>
      <c r="D113" s="24"/>
      <c r="U113" s="26"/>
      <c r="Z113" s="26"/>
    </row>
    <row r="114" customFormat="false" ht="15" hidden="false" customHeight="false" outlineLevel="0" collapsed="false">
      <c r="B114" s="24"/>
      <c r="C114" s="24"/>
      <c r="D114" s="24"/>
      <c r="U114" s="26"/>
      <c r="Z114" s="26"/>
    </row>
    <row r="115" customFormat="false" ht="15" hidden="false" customHeight="false" outlineLevel="0" collapsed="false">
      <c r="B115" s="24"/>
      <c r="C115" s="24"/>
      <c r="D115" s="24"/>
      <c r="U115" s="26"/>
      <c r="Z115" s="26"/>
    </row>
    <row r="116" customFormat="false" ht="15" hidden="false" customHeight="false" outlineLevel="0" collapsed="false">
      <c r="B116" s="24"/>
      <c r="C116" s="24"/>
      <c r="D116" s="24"/>
      <c r="U116" s="26"/>
      <c r="Z116" s="26"/>
    </row>
    <row r="117" customFormat="false" ht="15" hidden="false" customHeight="false" outlineLevel="0" collapsed="false">
      <c r="B117" s="24"/>
      <c r="C117" s="24"/>
      <c r="D117" s="24"/>
      <c r="U117" s="26"/>
      <c r="Z117" s="26"/>
    </row>
    <row r="118" customFormat="false" ht="15" hidden="false" customHeight="false" outlineLevel="0" collapsed="false">
      <c r="B118" s="24"/>
      <c r="C118" s="24"/>
      <c r="D118" s="24"/>
      <c r="U118" s="26"/>
      <c r="Z118" s="26"/>
    </row>
    <row r="119" customFormat="false" ht="15" hidden="false" customHeight="false" outlineLevel="0" collapsed="false">
      <c r="B119" s="24"/>
      <c r="C119" s="24"/>
      <c r="D119" s="24"/>
      <c r="U119" s="26"/>
      <c r="Z119" s="26"/>
    </row>
    <row r="120" customFormat="false" ht="15" hidden="false" customHeight="false" outlineLevel="0" collapsed="false">
      <c r="B120" s="24"/>
      <c r="C120" s="24"/>
      <c r="D120" s="24"/>
      <c r="U120" s="26"/>
      <c r="Z120" s="26"/>
    </row>
    <row r="121" customFormat="false" ht="15" hidden="false" customHeight="false" outlineLevel="0" collapsed="false">
      <c r="B121" s="24"/>
      <c r="C121" s="24"/>
      <c r="D121" s="24"/>
      <c r="U121" s="26"/>
      <c r="Z121" s="26"/>
    </row>
    <row r="122" customFormat="false" ht="15" hidden="false" customHeight="false" outlineLevel="0" collapsed="false">
      <c r="B122" s="24"/>
      <c r="C122" s="24"/>
      <c r="D122" s="24"/>
      <c r="U122" s="26"/>
      <c r="Z122" s="26"/>
    </row>
    <row r="123" customFormat="false" ht="15" hidden="false" customHeight="false" outlineLevel="0" collapsed="false">
      <c r="B123" s="24"/>
      <c r="C123" s="24"/>
      <c r="D123" s="24"/>
      <c r="U123" s="26"/>
      <c r="Z123" s="26"/>
    </row>
    <row r="124" customFormat="false" ht="15" hidden="false" customHeight="false" outlineLevel="0" collapsed="false">
      <c r="B124" s="24"/>
      <c r="C124" s="24"/>
      <c r="D124" s="24"/>
      <c r="U124" s="26"/>
      <c r="Z124" s="26"/>
    </row>
    <row r="125" customFormat="false" ht="15" hidden="false" customHeight="false" outlineLevel="0" collapsed="false">
      <c r="B125" s="24"/>
      <c r="C125" s="24"/>
      <c r="D125" s="24"/>
      <c r="U125" s="26"/>
      <c r="Z125" s="26"/>
    </row>
    <row r="126" customFormat="false" ht="15" hidden="false" customHeight="false" outlineLevel="0" collapsed="false">
      <c r="B126" s="24"/>
      <c r="C126" s="24"/>
      <c r="D126" s="24"/>
      <c r="U126" s="26"/>
      <c r="Z126" s="26"/>
    </row>
    <row r="127" customFormat="false" ht="15" hidden="false" customHeight="false" outlineLevel="0" collapsed="false">
      <c r="B127" s="24"/>
      <c r="C127" s="24"/>
      <c r="D127" s="24"/>
      <c r="U127" s="26"/>
      <c r="Z127" s="26"/>
    </row>
    <row r="128" customFormat="false" ht="15" hidden="false" customHeight="false" outlineLevel="0" collapsed="false">
      <c r="B128" s="24"/>
      <c r="C128" s="24"/>
      <c r="D128" s="24"/>
      <c r="U128" s="26"/>
      <c r="Z128" s="26"/>
    </row>
    <row r="129" customFormat="false" ht="15" hidden="false" customHeight="false" outlineLevel="0" collapsed="false">
      <c r="B129" s="24"/>
      <c r="C129" s="24"/>
      <c r="D129" s="24"/>
      <c r="U129" s="26"/>
      <c r="Z129" s="26"/>
    </row>
    <row r="130" customFormat="false" ht="15" hidden="false" customHeight="false" outlineLevel="0" collapsed="false">
      <c r="B130" s="24"/>
      <c r="C130" s="24"/>
      <c r="D130" s="24"/>
      <c r="U130" s="26"/>
      <c r="Z130" s="26"/>
    </row>
    <row r="131" customFormat="false" ht="15" hidden="false" customHeight="false" outlineLevel="0" collapsed="false">
      <c r="B131" s="24"/>
      <c r="C131" s="24"/>
      <c r="D131" s="24"/>
      <c r="U131" s="26"/>
      <c r="Z131" s="26"/>
    </row>
    <row r="132" customFormat="false" ht="15" hidden="false" customHeight="false" outlineLevel="0" collapsed="false">
      <c r="B132" s="24"/>
      <c r="C132" s="24"/>
      <c r="D132" s="24"/>
      <c r="U132" s="26"/>
      <c r="Z132" s="26"/>
    </row>
    <row r="133" customFormat="false" ht="15" hidden="false" customHeight="false" outlineLevel="0" collapsed="false">
      <c r="B133" s="24"/>
      <c r="C133" s="24"/>
      <c r="D133" s="24"/>
      <c r="U133" s="26"/>
      <c r="Z133" s="26"/>
    </row>
    <row r="134" customFormat="false" ht="15" hidden="false" customHeight="false" outlineLevel="0" collapsed="false">
      <c r="B134" s="24"/>
      <c r="C134" s="24"/>
      <c r="D134" s="24"/>
      <c r="U134" s="26"/>
      <c r="Z134" s="26"/>
    </row>
    <row r="135" customFormat="false" ht="15" hidden="false" customHeight="false" outlineLevel="0" collapsed="false">
      <c r="B135" s="24"/>
      <c r="C135" s="24"/>
      <c r="D135" s="24"/>
      <c r="U135" s="26"/>
      <c r="Z135" s="26"/>
    </row>
    <row r="136" customFormat="false" ht="15" hidden="false" customHeight="false" outlineLevel="0" collapsed="false">
      <c r="B136" s="24"/>
      <c r="C136" s="24"/>
      <c r="D136" s="24"/>
      <c r="U136" s="26"/>
      <c r="Z136" s="26"/>
    </row>
    <row r="137" customFormat="false" ht="15" hidden="false" customHeight="false" outlineLevel="0" collapsed="false">
      <c r="B137" s="24"/>
      <c r="C137" s="24"/>
      <c r="D137" s="24"/>
      <c r="U137" s="26"/>
      <c r="Z137" s="26"/>
    </row>
    <row r="138" customFormat="false" ht="15" hidden="false" customHeight="false" outlineLevel="0" collapsed="false">
      <c r="B138" s="24"/>
      <c r="C138" s="24"/>
      <c r="D138" s="24"/>
      <c r="U138" s="26"/>
      <c r="Z138" s="26"/>
    </row>
    <row r="139" customFormat="false" ht="15" hidden="false" customHeight="false" outlineLevel="0" collapsed="false">
      <c r="B139" s="24"/>
      <c r="C139" s="24"/>
      <c r="D139" s="24"/>
      <c r="U139" s="26"/>
      <c r="Z139" s="26"/>
    </row>
    <row r="140" customFormat="false" ht="15" hidden="false" customHeight="false" outlineLevel="0" collapsed="false">
      <c r="B140" s="24"/>
      <c r="C140" s="24"/>
      <c r="D140" s="24"/>
      <c r="U140" s="26"/>
      <c r="Z140" s="26"/>
    </row>
    <row r="141" customFormat="false" ht="15" hidden="false" customHeight="false" outlineLevel="0" collapsed="false">
      <c r="B141" s="24"/>
      <c r="C141" s="24"/>
      <c r="D141" s="24"/>
      <c r="U141" s="26"/>
      <c r="Z141" s="26"/>
    </row>
    <row r="142" customFormat="false" ht="15" hidden="false" customHeight="false" outlineLevel="0" collapsed="false">
      <c r="B142" s="24"/>
      <c r="C142" s="24"/>
      <c r="D142" s="24"/>
      <c r="U142" s="26"/>
      <c r="Z142" s="26"/>
    </row>
    <row r="143" customFormat="false" ht="15" hidden="false" customHeight="false" outlineLevel="0" collapsed="false">
      <c r="B143" s="24"/>
      <c r="C143" s="24"/>
      <c r="D143" s="24"/>
      <c r="U143" s="26"/>
      <c r="Z143" s="26"/>
    </row>
    <row r="144" customFormat="false" ht="15" hidden="false" customHeight="false" outlineLevel="0" collapsed="false">
      <c r="B144" s="24"/>
      <c r="C144" s="24"/>
      <c r="D144" s="24"/>
      <c r="U144" s="26"/>
      <c r="Z144" s="26"/>
    </row>
    <row r="145" customFormat="false" ht="15" hidden="false" customHeight="false" outlineLevel="0" collapsed="false">
      <c r="B145" s="24"/>
      <c r="C145" s="24"/>
      <c r="D145" s="24"/>
      <c r="U145" s="26"/>
      <c r="Z145" s="26"/>
    </row>
    <row r="146" customFormat="false" ht="15" hidden="false" customHeight="false" outlineLevel="0" collapsed="false">
      <c r="B146" s="24"/>
      <c r="C146" s="24"/>
      <c r="D146" s="24"/>
      <c r="U146" s="26"/>
      <c r="Z146" s="26"/>
    </row>
    <row r="147" customFormat="false" ht="15" hidden="false" customHeight="false" outlineLevel="0" collapsed="false">
      <c r="B147" s="24"/>
      <c r="C147" s="24"/>
      <c r="D147" s="24"/>
      <c r="U147" s="26"/>
      <c r="Z147" s="26"/>
    </row>
    <row r="148" customFormat="false" ht="15" hidden="false" customHeight="false" outlineLevel="0" collapsed="false">
      <c r="B148" s="24"/>
      <c r="C148" s="24"/>
      <c r="D148" s="24"/>
      <c r="U148" s="26"/>
      <c r="Z148" s="26"/>
    </row>
    <row r="149" customFormat="false" ht="15" hidden="false" customHeight="false" outlineLevel="0" collapsed="false">
      <c r="B149" s="24"/>
      <c r="C149" s="24"/>
      <c r="D149" s="24"/>
      <c r="U149" s="26"/>
      <c r="Z149" s="26"/>
    </row>
    <row r="150" customFormat="false" ht="15" hidden="false" customHeight="false" outlineLevel="0" collapsed="false">
      <c r="B150" s="24"/>
      <c r="C150" s="24"/>
      <c r="D150" s="24"/>
      <c r="U150" s="26"/>
      <c r="Z150" s="26"/>
    </row>
    <row r="151" customFormat="false" ht="15" hidden="false" customHeight="false" outlineLevel="0" collapsed="false">
      <c r="B151" s="24"/>
      <c r="C151" s="24"/>
      <c r="D151" s="24"/>
      <c r="U151" s="26"/>
      <c r="Z151" s="26"/>
    </row>
    <row r="152" customFormat="false" ht="15" hidden="false" customHeight="false" outlineLevel="0" collapsed="false">
      <c r="B152" s="24"/>
      <c r="C152" s="24"/>
      <c r="D152" s="24"/>
      <c r="U152" s="26"/>
      <c r="Z152" s="26"/>
    </row>
    <row r="153" customFormat="false" ht="15" hidden="false" customHeight="false" outlineLevel="0" collapsed="false">
      <c r="B153" s="24"/>
      <c r="C153" s="24"/>
      <c r="D153" s="24"/>
      <c r="U153" s="26"/>
      <c r="Z153" s="26"/>
    </row>
    <row r="154" customFormat="false" ht="15" hidden="false" customHeight="false" outlineLevel="0" collapsed="false">
      <c r="B154" s="24"/>
      <c r="C154" s="24"/>
      <c r="D154" s="24"/>
      <c r="U154" s="26"/>
      <c r="Z154" s="26"/>
    </row>
    <row r="155" customFormat="false" ht="15" hidden="false" customHeight="false" outlineLevel="0" collapsed="false">
      <c r="B155" s="24"/>
      <c r="C155" s="24"/>
      <c r="D155" s="24"/>
      <c r="U155" s="26"/>
      <c r="Z155" s="26"/>
    </row>
    <row r="156" customFormat="false" ht="15" hidden="false" customHeight="false" outlineLevel="0" collapsed="false">
      <c r="B156" s="24"/>
      <c r="C156" s="24"/>
      <c r="D156" s="24"/>
      <c r="U156" s="26"/>
      <c r="Z156" s="26"/>
    </row>
    <row r="157" customFormat="false" ht="15" hidden="false" customHeight="false" outlineLevel="0" collapsed="false">
      <c r="B157" s="24"/>
      <c r="C157" s="24"/>
      <c r="D157" s="24"/>
      <c r="U157" s="26"/>
      <c r="Z157" s="26"/>
    </row>
    <row r="158" customFormat="false" ht="15" hidden="false" customHeight="false" outlineLevel="0" collapsed="false">
      <c r="B158" s="24"/>
      <c r="C158" s="24"/>
      <c r="D158" s="24"/>
      <c r="U158" s="26"/>
      <c r="Z158" s="26"/>
    </row>
    <row r="159" customFormat="false" ht="15" hidden="false" customHeight="false" outlineLevel="0" collapsed="false">
      <c r="B159" s="24"/>
      <c r="C159" s="24"/>
      <c r="D159" s="24"/>
      <c r="U159" s="26"/>
      <c r="Z159" s="26"/>
    </row>
    <row r="160" customFormat="false" ht="15" hidden="false" customHeight="false" outlineLevel="0" collapsed="false">
      <c r="B160" s="24"/>
      <c r="C160" s="24"/>
      <c r="D160" s="24"/>
      <c r="U160" s="26"/>
      <c r="Z160" s="26"/>
    </row>
    <row r="161" customFormat="false" ht="15" hidden="false" customHeight="false" outlineLevel="0" collapsed="false">
      <c r="B161" s="24"/>
      <c r="C161" s="24"/>
      <c r="D161" s="24"/>
      <c r="U161" s="26"/>
      <c r="Z161" s="26"/>
    </row>
    <row r="162" customFormat="false" ht="15" hidden="false" customHeight="false" outlineLevel="0" collapsed="false">
      <c r="B162" s="24"/>
      <c r="C162" s="24"/>
      <c r="D162" s="24"/>
      <c r="U162" s="26"/>
      <c r="Z162" s="26"/>
    </row>
    <row r="163" customFormat="false" ht="15" hidden="false" customHeight="false" outlineLevel="0" collapsed="false">
      <c r="B163" s="24"/>
      <c r="C163" s="24"/>
      <c r="D163" s="24"/>
      <c r="U163" s="26"/>
      <c r="Z163" s="26"/>
    </row>
    <row r="164" customFormat="false" ht="15" hidden="false" customHeight="false" outlineLevel="0" collapsed="false">
      <c r="B164" s="24"/>
      <c r="C164" s="24"/>
      <c r="D164" s="24"/>
      <c r="U164" s="26"/>
      <c r="Z164" s="26"/>
    </row>
    <row r="165" customFormat="false" ht="15" hidden="false" customHeight="false" outlineLevel="0" collapsed="false">
      <c r="B165" s="24"/>
      <c r="C165" s="24"/>
      <c r="D165" s="24"/>
      <c r="U165" s="26"/>
      <c r="Z165" s="26"/>
    </row>
    <row r="166" customFormat="false" ht="15" hidden="false" customHeight="false" outlineLevel="0" collapsed="false">
      <c r="B166" s="24"/>
      <c r="C166" s="24"/>
      <c r="D166" s="24"/>
      <c r="U166" s="26"/>
      <c r="Z166" s="26"/>
    </row>
    <row r="167" customFormat="false" ht="15" hidden="false" customHeight="false" outlineLevel="0" collapsed="false">
      <c r="B167" s="24"/>
      <c r="C167" s="24"/>
      <c r="D167" s="24"/>
      <c r="U167" s="26"/>
      <c r="Z167" s="26"/>
    </row>
    <row r="168" customFormat="false" ht="15" hidden="false" customHeight="false" outlineLevel="0" collapsed="false">
      <c r="B168" s="24"/>
      <c r="C168" s="24"/>
      <c r="D168" s="24"/>
      <c r="U168" s="26"/>
      <c r="Z168" s="26"/>
    </row>
    <row r="169" customFormat="false" ht="15" hidden="false" customHeight="false" outlineLevel="0" collapsed="false">
      <c r="B169" s="24"/>
      <c r="C169" s="24"/>
      <c r="D169" s="24"/>
      <c r="U169" s="26"/>
      <c r="Z169" s="26"/>
    </row>
    <row r="170" customFormat="false" ht="15" hidden="false" customHeight="false" outlineLevel="0" collapsed="false">
      <c r="B170" s="24"/>
      <c r="C170" s="24"/>
      <c r="D170" s="24"/>
      <c r="U170" s="26"/>
      <c r="Z170" s="26"/>
    </row>
    <row r="171" customFormat="false" ht="15" hidden="false" customHeight="false" outlineLevel="0" collapsed="false">
      <c r="B171" s="24"/>
      <c r="C171" s="24"/>
      <c r="D171" s="24"/>
      <c r="U171" s="26"/>
      <c r="Z171" s="26"/>
    </row>
    <row r="172" customFormat="false" ht="15" hidden="false" customHeight="false" outlineLevel="0" collapsed="false">
      <c r="B172" s="24"/>
      <c r="C172" s="24"/>
      <c r="D172" s="24"/>
      <c r="U172" s="26"/>
      <c r="Z172" s="26"/>
    </row>
    <row r="173" customFormat="false" ht="15" hidden="false" customHeight="false" outlineLevel="0" collapsed="false">
      <c r="B173" s="24"/>
      <c r="C173" s="24"/>
      <c r="D173" s="24"/>
      <c r="U173" s="26"/>
      <c r="Z173" s="26"/>
    </row>
    <row r="174" customFormat="false" ht="15" hidden="false" customHeight="false" outlineLevel="0" collapsed="false">
      <c r="B174" s="24"/>
      <c r="C174" s="24"/>
      <c r="D174" s="24"/>
      <c r="U174" s="26"/>
      <c r="Z174" s="26"/>
    </row>
    <row r="175" customFormat="false" ht="15" hidden="false" customHeight="false" outlineLevel="0" collapsed="false">
      <c r="B175" s="24"/>
      <c r="C175" s="24"/>
      <c r="D175" s="24"/>
      <c r="U175" s="26"/>
      <c r="Z175" s="26"/>
    </row>
    <row r="176" customFormat="false" ht="15" hidden="false" customHeight="false" outlineLevel="0" collapsed="false">
      <c r="B176" s="24"/>
      <c r="C176" s="24"/>
      <c r="D176" s="24"/>
      <c r="U176" s="26"/>
      <c r="Z176" s="26"/>
    </row>
    <row r="177" customFormat="false" ht="15" hidden="false" customHeight="false" outlineLevel="0" collapsed="false">
      <c r="B177" s="24"/>
      <c r="C177" s="24"/>
      <c r="D177" s="24"/>
      <c r="U177" s="26"/>
      <c r="Z177" s="26"/>
    </row>
    <row r="178" customFormat="false" ht="15" hidden="false" customHeight="false" outlineLevel="0" collapsed="false">
      <c r="B178" s="24"/>
      <c r="C178" s="24"/>
      <c r="D178" s="24"/>
      <c r="U178" s="26"/>
      <c r="Z178" s="26"/>
    </row>
    <row r="179" customFormat="false" ht="15" hidden="false" customHeight="false" outlineLevel="0" collapsed="false">
      <c r="B179" s="24"/>
      <c r="C179" s="24"/>
      <c r="D179" s="24"/>
      <c r="U179" s="26"/>
      <c r="Z179" s="26"/>
    </row>
    <row r="180" customFormat="false" ht="15" hidden="false" customHeight="false" outlineLevel="0" collapsed="false">
      <c r="B180" s="24"/>
      <c r="C180" s="24"/>
      <c r="D180" s="24"/>
      <c r="U180" s="26"/>
      <c r="Z180" s="26"/>
    </row>
    <row r="181" customFormat="false" ht="15" hidden="false" customHeight="false" outlineLevel="0" collapsed="false">
      <c r="B181" s="24"/>
      <c r="C181" s="24"/>
      <c r="D181" s="24"/>
      <c r="U181" s="26"/>
      <c r="Z181" s="26"/>
    </row>
    <row r="182" customFormat="false" ht="15" hidden="false" customHeight="false" outlineLevel="0" collapsed="false">
      <c r="B182" s="24"/>
      <c r="C182" s="24"/>
      <c r="D182" s="24"/>
      <c r="U182" s="26"/>
      <c r="Z182" s="26"/>
    </row>
    <row r="183" customFormat="false" ht="15" hidden="false" customHeight="false" outlineLevel="0" collapsed="false">
      <c r="B183" s="24"/>
      <c r="C183" s="24"/>
      <c r="D183" s="24"/>
      <c r="U183" s="26"/>
      <c r="Z183" s="26"/>
    </row>
    <row r="184" customFormat="false" ht="15" hidden="false" customHeight="false" outlineLevel="0" collapsed="false">
      <c r="B184" s="24"/>
      <c r="C184" s="24"/>
      <c r="D184" s="24"/>
      <c r="U184" s="26"/>
      <c r="Z184" s="26"/>
    </row>
    <row r="185" customFormat="false" ht="15" hidden="false" customHeight="false" outlineLevel="0" collapsed="false">
      <c r="B185" s="24"/>
      <c r="C185" s="24"/>
      <c r="D185" s="24"/>
      <c r="U185" s="26"/>
      <c r="Z185" s="26"/>
    </row>
    <row r="186" customFormat="false" ht="15" hidden="false" customHeight="false" outlineLevel="0" collapsed="false">
      <c r="B186" s="24"/>
      <c r="C186" s="24"/>
      <c r="D186" s="24"/>
      <c r="U186" s="26"/>
      <c r="Z186" s="26"/>
    </row>
    <row r="187" customFormat="false" ht="15" hidden="false" customHeight="false" outlineLevel="0" collapsed="false">
      <c r="B187" s="24"/>
      <c r="C187" s="24"/>
      <c r="D187" s="24"/>
      <c r="U187" s="26"/>
      <c r="Z187" s="26"/>
    </row>
    <row r="188" customFormat="false" ht="15" hidden="false" customHeight="false" outlineLevel="0" collapsed="false">
      <c r="B188" s="24"/>
      <c r="C188" s="24"/>
      <c r="D188" s="24"/>
      <c r="U188" s="26"/>
      <c r="Z188" s="26"/>
    </row>
    <row r="189" customFormat="false" ht="15" hidden="false" customHeight="false" outlineLevel="0" collapsed="false">
      <c r="B189" s="24"/>
      <c r="C189" s="24"/>
      <c r="D189" s="24"/>
      <c r="U189" s="26"/>
      <c r="Z189" s="26"/>
    </row>
    <row r="190" customFormat="false" ht="15" hidden="false" customHeight="false" outlineLevel="0" collapsed="false">
      <c r="B190" s="24"/>
      <c r="C190" s="24"/>
      <c r="D190" s="24"/>
      <c r="U190" s="26"/>
      <c r="Z190" s="26"/>
    </row>
    <row r="191" customFormat="false" ht="15" hidden="false" customHeight="false" outlineLevel="0" collapsed="false">
      <c r="B191" s="24"/>
      <c r="C191" s="24"/>
      <c r="D191" s="24"/>
      <c r="U191" s="26"/>
      <c r="Z191" s="26"/>
    </row>
    <row r="192" customFormat="false" ht="15" hidden="false" customHeight="false" outlineLevel="0" collapsed="false">
      <c r="B192" s="24"/>
      <c r="C192" s="24"/>
      <c r="D192" s="24"/>
      <c r="U192" s="26"/>
      <c r="Z192" s="26"/>
    </row>
    <row r="193" customFormat="false" ht="15" hidden="false" customHeight="false" outlineLevel="0" collapsed="false">
      <c r="B193" s="24"/>
      <c r="C193" s="24"/>
      <c r="D193" s="24"/>
      <c r="U193" s="26"/>
      <c r="Z193" s="26"/>
    </row>
    <row r="194" customFormat="false" ht="15" hidden="false" customHeight="false" outlineLevel="0" collapsed="false">
      <c r="B194" s="24"/>
      <c r="C194" s="24"/>
      <c r="D194" s="24"/>
      <c r="U194" s="26"/>
      <c r="Z194" s="26"/>
    </row>
    <row r="195" customFormat="false" ht="15" hidden="false" customHeight="false" outlineLevel="0" collapsed="false">
      <c r="B195" s="24"/>
      <c r="C195" s="24"/>
      <c r="D195" s="24"/>
      <c r="U195" s="26"/>
      <c r="Z195" s="26"/>
    </row>
    <row r="196" customFormat="false" ht="15" hidden="false" customHeight="false" outlineLevel="0" collapsed="false">
      <c r="B196" s="24"/>
      <c r="C196" s="24"/>
      <c r="D196" s="24"/>
      <c r="U196" s="26"/>
      <c r="Z196" s="26"/>
    </row>
    <row r="197" customFormat="false" ht="15" hidden="false" customHeight="false" outlineLevel="0" collapsed="false">
      <c r="B197" s="24"/>
      <c r="C197" s="24"/>
      <c r="D197" s="24"/>
      <c r="U197" s="26"/>
      <c r="Z197" s="26"/>
    </row>
    <row r="198" customFormat="false" ht="15" hidden="false" customHeight="false" outlineLevel="0" collapsed="false">
      <c r="B198" s="24"/>
      <c r="C198" s="24"/>
      <c r="D198" s="24"/>
      <c r="U198" s="26"/>
      <c r="Z198" s="26"/>
    </row>
    <row r="199" customFormat="false" ht="15" hidden="false" customHeight="false" outlineLevel="0" collapsed="false">
      <c r="B199" s="24"/>
      <c r="C199" s="24"/>
      <c r="D199" s="24"/>
      <c r="U199" s="26"/>
      <c r="Z199" s="26"/>
    </row>
    <row r="200" customFormat="false" ht="15" hidden="false" customHeight="false" outlineLevel="0" collapsed="false">
      <c r="B200" s="24"/>
      <c r="C200" s="24"/>
      <c r="D200" s="24"/>
      <c r="U200" s="26"/>
      <c r="Z200" s="26"/>
    </row>
    <row r="201" customFormat="false" ht="15" hidden="false" customHeight="false" outlineLevel="0" collapsed="false">
      <c r="B201" s="24"/>
      <c r="C201" s="24"/>
      <c r="D201" s="24"/>
      <c r="U201" s="26"/>
      <c r="Z201" s="26"/>
    </row>
    <row r="202" customFormat="false" ht="15" hidden="false" customHeight="false" outlineLevel="0" collapsed="false">
      <c r="B202" s="24"/>
      <c r="C202" s="24"/>
      <c r="D202" s="24"/>
      <c r="U202" s="26"/>
      <c r="Z202" s="26"/>
    </row>
    <row r="203" customFormat="false" ht="15" hidden="false" customHeight="false" outlineLevel="0" collapsed="false">
      <c r="B203" s="24"/>
      <c r="C203" s="24"/>
      <c r="D203" s="24"/>
      <c r="U203" s="26"/>
      <c r="Z203" s="26"/>
    </row>
    <row r="204" customFormat="false" ht="15" hidden="false" customHeight="false" outlineLevel="0" collapsed="false">
      <c r="B204" s="24"/>
      <c r="C204" s="24"/>
      <c r="D204" s="24"/>
      <c r="U204" s="26"/>
      <c r="Z204" s="26"/>
    </row>
    <row r="205" customFormat="false" ht="15" hidden="false" customHeight="false" outlineLevel="0" collapsed="false">
      <c r="B205" s="24"/>
      <c r="C205" s="24"/>
      <c r="D205" s="24"/>
      <c r="U205" s="26"/>
      <c r="Z205" s="26"/>
    </row>
    <row r="206" customFormat="false" ht="15" hidden="false" customHeight="false" outlineLevel="0" collapsed="false">
      <c r="B206" s="24"/>
      <c r="C206" s="24"/>
      <c r="D206" s="24"/>
      <c r="U206" s="26"/>
      <c r="Z206" s="26"/>
    </row>
    <row r="207" customFormat="false" ht="15" hidden="false" customHeight="false" outlineLevel="0" collapsed="false">
      <c r="B207" s="24"/>
      <c r="C207" s="24"/>
      <c r="D207" s="24"/>
      <c r="U207" s="26"/>
      <c r="Z207" s="26"/>
    </row>
    <row r="208" customFormat="false" ht="15" hidden="false" customHeight="false" outlineLevel="0" collapsed="false">
      <c r="B208" s="24"/>
      <c r="C208" s="24"/>
      <c r="D208" s="24"/>
      <c r="U208" s="26"/>
      <c r="Z208" s="26"/>
    </row>
    <row r="209" customFormat="false" ht="15" hidden="false" customHeight="false" outlineLevel="0" collapsed="false">
      <c r="B209" s="24"/>
      <c r="C209" s="24"/>
      <c r="D209" s="24"/>
      <c r="U209" s="26"/>
      <c r="Z209" s="26"/>
    </row>
    <row r="210" customFormat="false" ht="15" hidden="false" customHeight="false" outlineLevel="0" collapsed="false">
      <c r="B210" s="24"/>
      <c r="C210" s="24"/>
      <c r="D210" s="24"/>
      <c r="U210" s="26"/>
      <c r="Z210" s="26"/>
    </row>
    <row r="211" customFormat="false" ht="15" hidden="false" customHeight="false" outlineLevel="0" collapsed="false">
      <c r="B211" s="24"/>
      <c r="C211" s="24"/>
      <c r="D211" s="24"/>
      <c r="U211" s="26"/>
      <c r="Z211" s="26"/>
    </row>
    <row r="212" customFormat="false" ht="15" hidden="false" customHeight="false" outlineLevel="0" collapsed="false">
      <c r="B212" s="24"/>
      <c r="C212" s="24"/>
      <c r="D212" s="24"/>
      <c r="U212" s="26"/>
      <c r="Z212" s="26"/>
    </row>
    <row r="213" customFormat="false" ht="15" hidden="false" customHeight="false" outlineLevel="0" collapsed="false">
      <c r="B213" s="24"/>
      <c r="C213" s="24"/>
      <c r="D213" s="24"/>
      <c r="U213" s="26"/>
      <c r="Z213" s="26"/>
    </row>
    <row r="214" customFormat="false" ht="15" hidden="false" customHeight="false" outlineLevel="0" collapsed="false">
      <c r="B214" s="24"/>
      <c r="C214" s="24"/>
      <c r="D214" s="24"/>
      <c r="U214" s="26"/>
      <c r="Z214" s="26"/>
    </row>
    <row r="215" customFormat="false" ht="15" hidden="false" customHeight="false" outlineLevel="0" collapsed="false">
      <c r="B215" s="24"/>
      <c r="C215" s="24"/>
      <c r="D215" s="24"/>
      <c r="U215" s="26"/>
      <c r="Z215" s="26"/>
    </row>
    <row r="216" customFormat="false" ht="15" hidden="false" customHeight="false" outlineLevel="0" collapsed="false">
      <c r="B216" s="24"/>
      <c r="C216" s="24"/>
      <c r="D216" s="24"/>
      <c r="U216" s="26"/>
      <c r="Z216" s="26"/>
    </row>
    <row r="217" customFormat="false" ht="15" hidden="false" customHeight="false" outlineLevel="0" collapsed="false">
      <c r="B217" s="24"/>
      <c r="C217" s="24"/>
      <c r="D217" s="24"/>
      <c r="U217" s="26"/>
      <c r="Z217" s="26"/>
    </row>
    <row r="218" customFormat="false" ht="15" hidden="false" customHeight="false" outlineLevel="0" collapsed="false">
      <c r="B218" s="24"/>
      <c r="C218" s="24"/>
      <c r="D218" s="24"/>
      <c r="U218" s="26"/>
      <c r="Z218" s="26"/>
    </row>
    <row r="219" customFormat="false" ht="15" hidden="false" customHeight="false" outlineLevel="0" collapsed="false">
      <c r="B219" s="24"/>
      <c r="C219" s="24"/>
      <c r="D219" s="24"/>
      <c r="U219" s="26"/>
      <c r="Z219" s="26"/>
    </row>
    <row r="220" customFormat="false" ht="15" hidden="false" customHeight="false" outlineLevel="0" collapsed="false">
      <c r="B220" s="24"/>
      <c r="C220" s="24"/>
      <c r="D220" s="24"/>
      <c r="U220" s="26"/>
      <c r="Z220" s="26"/>
    </row>
    <row r="221" customFormat="false" ht="15" hidden="false" customHeight="false" outlineLevel="0" collapsed="false">
      <c r="B221" s="24"/>
      <c r="C221" s="24"/>
      <c r="D221" s="24"/>
      <c r="U221" s="26"/>
      <c r="Z221" s="26"/>
    </row>
    <row r="222" customFormat="false" ht="15" hidden="false" customHeight="false" outlineLevel="0" collapsed="false">
      <c r="B222" s="24"/>
      <c r="C222" s="24"/>
      <c r="D222" s="24"/>
      <c r="U222" s="26"/>
      <c r="Z222" s="26"/>
    </row>
    <row r="223" customFormat="false" ht="15" hidden="false" customHeight="false" outlineLevel="0" collapsed="false">
      <c r="B223" s="24"/>
      <c r="C223" s="24"/>
      <c r="D223" s="24"/>
      <c r="U223" s="26"/>
      <c r="Z223" s="26"/>
    </row>
    <row r="224" customFormat="false" ht="15" hidden="false" customHeight="false" outlineLevel="0" collapsed="false">
      <c r="B224" s="24"/>
      <c r="C224" s="24"/>
      <c r="D224" s="24"/>
      <c r="U224" s="26"/>
      <c r="Z224" s="26"/>
    </row>
    <row r="225" customFormat="false" ht="15" hidden="false" customHeight="false" outlineLevel="0" collapsed="false">
      <c r="B225" s="24"/>
      <c r="C225" s="24"/>
      <c r="D225" s="24"/>
      <c r="U225" s="26"/>
      <c r="Z225" s="26"/>
    </row>
    <row r="226" customFormat="false" ht="15" hidden="false" customHeight="false" outlineLevel="0" collapsed="false">
      <c r="B226" s="24"/>
      <c r="C226" s="24"/>
      <c r="D226" s="24"/>
      <c r="U226" s="26"/>
      <c r="Z226" s="26"/>
    </row>
    <row r="227" customFormat="false" ht="15" hidden="false" customHeight="false" outlineLevel="0" collapsed="false">
      <c r="B227" s="24"/>
      <c r="C227" s="24"/>
      <c r="D227" s="24"/>
      <c r="U227" s="26"/>
      <c r="Z227" s="26"/>
    </row>
    <row r="228" customFormat="false" ht="15" hidden="false" customHeight="false" outlineLevel="0" collapsed="false">
      <c r="B228" s="24"/>
      <c r="C228" s="24"/>
      <c r="D228" s="24"/>
      <c r="U228" s="26"/>
      <c r="Z228" s="26"/>
    </row>
    <row r="229" customFormat="false" ht="15" hidden="false" customHeight="false" outlineLevel="0" collapsed="false">
      <c r="B229" s="24"/>
      <c r="C229" s="24"/>
      <c r="D229" s="24"/>
      <c r="U229" s="26"/>
      <c r="Z229" s="26"/>
    </row>
    <row r="230" customFormat="false" ht="15" hidden="false" customHeight="false" outlineLevel="0" collapsed="false">
      <c r="B230" s="24"/>
      <c r="C230" s="24"/>
      <c r="D230" s="24"/>
      <c r="U230" s="26"/>
      <c r="Z230" s="26"/>
    </row>
    <row r="231" customFormat="false" ht="15" hidden="false" customHeight="false" outlineLevel="0" collapsed="false">
      <c r="B231" s="24"/>
      <c r="C231" s="24"/>
      <c r="D231" s="24"/>
      <c r="U231" s="26"/>
      <c r="Z231" s="26"/>
    </row>
    <row r="232" customFormat="false" ht="15" hidden="false" customHeight="false" outlineLevel="0" collapsed="false">
      <c r="B232" s="24"/>
      <c r="C232" s="24"/>
      <c r="D232" s="24"/>
      <c r="U232" s="26"/>
      <c r="Z232" s="26"/>
    </row>
    <row r="233" customFormat="false" ht="15" hidden="false" customHeight="false" outlineLevel="0" collapsed="false">
      <c r="B233" s="24"/>
      <c r="C233" s="24"/>
      <c r="D233" s="24"/>
      <c r="U233" s="26"/>
      <c r="Z233" s="26"/>
    </row>
    <row r="234" customFormat="false" ht="15" hidden="false" customHeight="false" outlineLevel="0" collapsed="false">
      <c r="B234" s="24"/>
      <c r="C234" s="24"/>
      <c r="D234" s="24"/>
      <c r="U234" s="26"/>
      <c r="Z234" s="26"/>
    </row>
    <row r="235" customFormat="false" ht="15" hidden="false" customHeight="false" outlineLevel="0" collapsed="false">
      <c r="B235" s="24"/>
      <c r="C235" s="24"/>
      <c r="D235" s="24"/>
      <c r="U235" s="26"/>
      <c r="Z235" s="26"/>
    </row>
    <row r="236" customFormat="false" ht="15" hidden="false" customHeight="false" outlineLevel="0" collapsed="false">
      <c r="B236" s="24"/>
      <c r="C236" s="24"/>
      <c r="D236" s="24"/>
      <c r="U236" s="26"/>
      <c r="Z236" s="26"/>
    </row>
    <row r="237" customFormat="false" ht="15" hidden="false" customHeight="false" outlineLevel="0" collapsed="false">
      <c r="B237" s="24"/>
      <c r="C237" s="24"/>
      <c r="D237" s="24"/>
      <c r="U237" s="26"/>
      <c r="Z237" s="26"/>
    </row>
    <row r="238" customFormat="false" ht="15" hidden="false" customHeight="false" outlineLevel="0" collapsed="false">
      <c r="B238" s="24"/>
      <c r="C238" s="24"/>
      <c r="D238" s="24"/>
      <c r="U238" s="26"/>
      <c r="Z238" s="26"/>
    </row>
    <row r="239" customFormat="false" ht="15" hidden="false" customHeight="false" outlineLevel="0" collapsed="false">
      <c r="B239" s="24"/>
      <c r="C239" s="24"/>
      <c r="D239" s="24"/>
      <c r="U239" s="26"/>
      <c r="Z239" s="26"/>
    </row>
    <row r="240" customFormat="false" ht="15" hidden="false" customHeight="false" outlineLevel="0" collapsed="false">
      <c r="B240" s="24"/>
      <c r="C240" s="24"/>
      <c r="D240" s="24"/>
      <c r="U240" s="26"/>
      <c r="Z240" s="26"/>
    </row>
    <row r="241" customFormat="false" ht="15" hidden="false" customHeight="false" outlineLevel="0" collapsed="false">
      <c r="B241" s="24"/>
      <c r="C241" s="24"/>
      <c r="D241" s="24"/>
      <c r="U241" s="26"/>
      <c r="Z241" s="26"/>
    </row>
    <row r="242" customFormat="false" ht="15" hidden="false" customHeight="false" outlineLevel="0" collapsed="false">
      <c r="B242" s="24"/>
      <c r="C242" s="24"/>
      <c r="D242" s="24"/>
      <c r="U242" s="26"/>
      <c r="Z242" s="26"/>
    </row>
    <row r="243" customFormat="false" ht="15" hidden="false" customHeight="false" outlineLevel="0" collapsed="false">
      <c r="B243" s="24"/>
      <c r="C243" s="24"/>
      <c r="D243" s="24"/>
      <c r="U243" s="26"/>
      <c r="Z243" s="26"/>
    </row>
    <row r="244" customFormat="false" ht="15" hidden="false" customHeight="false" outlineLevel="0" collapsed="false">
      <c r="B244" s="24"/>
      <c r="C244" s="24"/>
      <c r="D244" s="24"/>
      <c r="U244" s="26"/>
      <c r="Z244" s="26"/>
    </row>
    <row r="245" customFormat="false" ht="15" hidden="false" customHeight="false" outlineLevel="0" collapsed="false">
      <c r="B245" s="24"/>
      <c r="C245" s="24"/>
      <c r="D245" s="24"/>
      <c r="U245" s="26"/>
      <c r="Z245" s="26"/>
    </row>
    <row r="246" customFormat="false" ht="15" hidden="false" customHeight="false" outlineLevel="0" collapsed="false">
      <c r="B246" s="24"/>
      <c r="C246" s="24"/>
      <c r="D246" s="24"/>
      <c r="U246" s="26"/>
      <c r="Z246" s="26"/>
    </row>
    <row r="247" customFormat="false" ht="15" hidden="false" customHeight="false" outlineLevel="0" collapsed="false">
      <c r="B247" s="24"/>
      <c r="C247" s="24"/>
      <c r="D247" s="24"/>
      <c r="U247" s="26"/>
      <c r="Z247" s="26"/>
    </row>
    <row r="248" customFormat="false" ht="15" hidden="false" customHeight="false" outlineLevel="0" collapsed="false">
      <c r="B248" s="24"/>
      <c r="C248" s="24"/>
      <c r="D248" s="24"/>
      <c r="U248" s="26"/>
      <c r="Z248" s="26"/>
    </row>
    <row r="249" customFormat="false" ht="15" hidden="false" customHeight="false" outlineLevel="0" collapsed="false">
      <c r="B249" s="24"/>
      <c r="C249" s="24"/>
      <c r="D249" s="24"/>
      <c r="U249" s="26"/>
      <c r="Z249" s="26"/>
    </row>
    <row r="250" customFormat="false" ht="15" hidden="false" customHeight="false" outlineLevel="0" collapsed="false">
      <c r="B250" s="24"/>
      <c r="C250" s="24"/>
      <c r="D250" s="24"/>
      <c r="U250" s="26"/>
      <c r="Z250" s="26"/>
    </row>
    <row r="251" customFormat="false" ht="15" hidden="false" customHeight="false" outlineLevel="0" collapsed="false">
      <c r="B251" s="24"/>
      <c r="C251" s="24"/>
      <c r="D251" s="24"/>
      <c r="U251" s="26"/>
      <c r="Z251" s="26"/>
    </row>
    <row r="252" customFormat="false" ht="15" hidden="false" customHeight="false" outlineLevel="0" collapsed="false">
      <c r="B252" s="24"/>
      <c r="C252" s="24"/>
      <c r="D252" s="24"/>
      <c r="U252" s="26"/>
      <c r="Z252" s="26"/>
    </row>
    <row r="253" customFormat="false" ht="15" hidden="false" customHeight="false" outlineLevel="0" collapsed="false">
      <c r="B253" s="24"/>
      <c r="C253" s="24"/>
      <c r="D253" s="24"/>
      <c r="U253" s="26"/>
      <c r="Z253" s="26"/>
    </row>
    <row r="254" customFormat="false" ht="15" hidden="false" customHeight="false" outlineLevel="0" collapsed="false">
      <c r="B254" s="24"/>
      <c r="C254" s="24"/>
      <c r="D254" s="24"/>
      <c r="U254" s="26"/>
      <c r="Z254" s="26"/>
    </row>
    <row r="255" customFormat="false" ht="15" hidden="false" customHeight="false" outlineLevel="0" collapsed="false">
      <c r="B255" s="24"/>
      <c r="C255" s="24"/>
      <c r="D255" s="24"/>
      <c r="U255" s="26"/>
      <c r="Z255" s="26"/>
    </row>
    <row r="256" customFormat="false" ht="15" hidden="false" customHeight="false" outlineLevel="0" collapsed="false">
      <c r="B256" s="24"/>
      <c r="C256" s="24"/>
      <c r="D256" s="24"/>
      <c r="U256" s="26"/>
      <c r="Z256" s="26"/>
    </row>
    <row r="257" customFormat="false" ht="15" hidden="false" customHeight="false" outlineLevel="0" collapsed="false">
      <c r="B257" s="24"/>
      <c r="C257" s="24"/>
      <c r="D257" s="24"/>
      <c r="U257" s="26"/>
      <c r="Z257" s="26"/>
    </row>
    <row r="258" customFormat="false" ht="15" hidden="false" customHeight="false" outlineLevel="0" collapsed="false">
      <c r="B258" s="24"/>
      <c r="C258" s="24"/>
      <c r="D258" s="24"/>
      <c r="U258" s="26"/>
      <c r="Z258" s="26"/>
    </row>
    <row r="259" customFormat="false" ht="15" hidden="false" customHeight="false" outlineLevel="0" collapsed="false">
      <c r="B259" s="24"/>
      <c r="C259" s="24"/>
      <c r="D259" s="24"/>
      <c r="U259" s="26"/>
      <c r="Z259" s="26"/>
    </row>
    <row r="260" customFormat="false" ht="15" hidden="false" customHeight="false" outlineLevel="0" collapsed="false">
      <c r="B260" s="24"/>
      <c r="C260" s="24"/>
      <c r="D260" s="24"/>
      <c r="U260" s="26"/>
      <c r="Z260" s="26"/>
    </row>
    <row r="261" customFormat="false" ht="15" hidden="false" customHeight="false" outlineLevel="0" collapsed="false">
      <c r="B261" s="24"/>
      <c r="C261" s="24"/>
      <c r="D261" s="24"/>
      <c r="U261" s="26"/>
      <c r="Z261" s="26"/>
    </row>
    <row r="262" customFormat="false" ht="15" hidden="false" customHeight="false" outlineLevel="0" collapsed="false">
      <c r="B262" s="24"/>
      <c r="C262" s="24"/>
      <c r="D262" s="24"/>
      <c r="U262" s="26"/>
      <c r="Z262" s="26"/>
    </row>
    <row r="263" customFormat="false" ht="15" hidden="false" customHeight="false" outlineLevel="0" collapsed="false">
      <c r="B263" s="24"/>
      <c r="C263" s="24"/>
      <c r="D263" s="24"/>
      <c r="U263" s="26"/>
      <c r="Z263" s="26"/>
    </row>
    <row r="264" customFormat="false" ht="15" hidden="false" customHeight="false" outlineLevel="0" collapsed="false">
      <c r="B264" s="24"/>
      <c r="C264" s="24"/>
      <c r="D264" s="24"/>
      <c r="U264" s="26"/>
      <c r="Z264" s="26"/>
    </row>
    <row r="265" customFormat="false" ht="15" hidden="false" customHeight="false" outlineLevel="0" collapsed="false">
      <c r="B265" s="24"/>
      <c r="C265" s="24"/>
      <c r="D265" s="24"/>
      <c r="U265" s="26"/>
      <c r="Z265" s="26"/>
    </row>
    <row r="266" customFormat="false" ht="15" hidden="false" customHeight="false" outlineLevel="0" collapsed="false">
      <c r="B266" s="24"/>
      <c r="C266" s="24"/>
      <c r="D266" s="24"/>
      <c r="U266" s="26"/>
      <c r="Z266" s="26"/>
    </row>
    <row r="267" customFormat="false" ht="15" hidden="false" customHeight="false" outlineLevel="0" collapsed="false">
      <c r="B267" s="24"/>
      <c r="C267" s="24"/>
      <c r="D267" s="24"/>
      <c r="U267" s="26"/>
      <c r="Z267" s="26"/>
    </row>
    <row r="268" customFormat="false" ht="15" hidden="false" customHeight="false" outlineLevel="0" collapsed="false">
      <c r="B268" s="24"/>
      <c r="C268" s="24"/>
      <c r="D268" s="24"/>
      <c r="U268" s="26"/>
      <c r="Z268" s="26"/>
    </row>
    <row r="269" customFormat="false" ht="15" hidden="false" customHeight="false" outlineLevel="0" collapsed="false">
      <c r="B269" s="24"/>
      <c r="C269" s="24"/>
      <c r="D269" s="24"/>
      <c r="U269" s="26"/>
      <c r="Z269" s="26"/>
    </row>
    <row r="270" customFormat="false" ht="15" hidden="false" customHeight="false" outlineLevel="0" collapsed="false">
      <c r="B270" s="24"/>
      <c r="C270" s="24"/>
      <c r="D270" s="24"/>
      <c r="U270" s="26"/>
      <c r="Z270" s="26"/>
    </row>
    <row r="271" customFormat="false" ht="15" hidden="false" customHeight="false" outlineLevel="0" collapsed="false">
      <c r="B271" s="24"/>
      <c r="C271" s="24"/>
      <c r="D271" s="24"/>
      <c r="U271" s="26"/>
      <c r="Z271" s="26"/>
    </row>
    <row r="272" customFormat="false" ht="15" hidden="false" customHeight="false" outlineLevel="0" collapsed="false">
      <c r="B272" s="24"/>
      <c r="C272" s="24"/>
      <c r="D272" s="24"/>
      <c r="U272" s="26"/>
      <c r="Z272" s="26"/>
    </row>
    <row r="273" customFormat="false" ht="15" hidden="false" customHeight="false" outlineLevel="0" collapsed="false">
      <c r="B273" s="24"/>
      <c r="C273" s="24"/>
      <c r="D273" s="24"/>
      <c r="U273" s="26"/>
      <c r="Z273" s="26"/>
    </row>
    <row r="274" customFormat="false" ht="15" hidden="false" customHeight="false" outlineLevel="0" collapsed="false">
      <c r="B274" s="24"/>
      <c r="C274" s="24"/>
      <c r="D274" s="24"/>
      <c r="U274" s="26"/>
      <c r="Z274" s="26"/>
    </row>
    <row r="275" customFormat="false" ht="15" hidden="false" customHeight="false" outlineLevel="0" collapsed="false">
      <c r="B275" s="24"/>
      <c r="C275" s="24"/>
      <c r="D275" s="24"/>
      <c r="U275" s="26"/>
      <c r="Z275" s="26"/>
    </row>
    <row r="276" customFormat="false" ht="15" hidden="false" customHeight="false" outlineLevel="0" collapsed="false">
      <c r="B276" s="24"/>
      <c r="C276" s="24"/>
      <c r="D276" s="24"/>
      <c r="U276" s="26"/>
      <c r="Z276" s="26"/>
    </row>
    <row r="277" customFormat="false" ht="15" hidden="false" customHeight="false" outlineLevel="0" collapsed="false">
      <c r="B277" s="24"/>
      <c r="C277" s="24"/>
      <c r="D277" s="24"/>
      <c r="U277" s="26"/>
      <c r="Z277" s="26"/>
    </row>
    <row r="278" customFormat="false" ht="15" hidden="false" customHeight="false" outlineLevel="0" collapsed="false">
      <c r="B278" s="24"/>
      <c r="C278" s="24"/>
      <c r="D278" s="24"/>
      <c r="U278" s="26"/>
      <c r="Z278" s="26"/>
    </row>
    <row r="279" customFormat="false" ht="15" hidden="false" customHeight="false" outlineLevel="0" collapsed="false">
      <c r="B279" s="24"/>
      <c r="C279" s="24"/>
      <c r="D279" s="24"/>
      <c r="U279" s="26"/>
      <c r="Z279" s="26"/>
    </row>
    <row r="280" customFormat="false" ht="15" hidden="false" customHeight="false" outlineLevel="0" collapsed="false">
      <c r="B280" s="24"/>
      <c r="C280" s="24"/>
      <c r="D280" s="24"/>
      <c r="U280" s="26"/>
      <c r="Z280" s="26"/>
    </row>
    <row r="281" customFormat="false" ht="15" hidden="false" customHeight="false" outlineLevel="0" collapsed="false">
      <c r="B281" s="24"/>
      <c r="C281" s="24"/>
      <c r="D281" s="24"/>
      <c r="U281" s="26"/>
      <c r="Z281" s="26"/>
    </row>
    <row r="282" customFormat="false" ht="15" hidden="false" customHeight="false" outlineLevel="0" collapsed="false">
      <c r="B282" s="24"/>
      <c r="C282" s="24"/>
      <c r="D282" s="24"/>
      <c r="U282" s="26"/>
      <c r="Z282" s="26"/>
    </row>
    <row r="283" customFormat="false" ht="15" hidden="false" customHeight="false" outlineLevel="0" collapsed="false">
      <c r="B283" s="24"/>
      <c r="C283" s="24"/>
      <c r="D283" s="24"/>
      <c r="U283" s="26"/>
      <c r="Z283" s="26"/>
    </row>
    <row r="284" customFormat="false" ht="15" hidden="false" customHeight="false" outlineLevel="0" collapsed="false">
      <c r="B284" s="24"/>
      <c r="C284" s="24"/>
      <c r="D284" s="24"/>
      <c r="U284" s="26"/>
      <c r="Z284" s="26"/>
    </row>
    <row r="285" customFormat="false" ht="15" hidden="false" customHeight="false" outlineLevel="0" collapsed="false">
      <c r="B285" s="24"/>
      <c r="C285" s="24"/>
      <c r="D285" s="24"/>
      <c r="U285" s="26"/>
      <c r="Z285" s="26"/>
    </row>
    <row r="286" customFormat="false" ht="15" hidden="false" customHeight="false" outlineLevel="0" collapsed="false">
      <c r="B286" s="24"/>
      <c r="C286" s="24"/>
      <c r="D286" s="24"/>
      <c r="U286" s="26"/>
      <c r="Z286" s="26"/>
    </row>
    <row r="287" customFormat="false" ht="15" hidden="false" customHeight="false" outlineLevel="0" collapsed="false">
      <c r="B287" s="24"/>
      <c r="C287" s="24"/>
      <c r="D287" s="24"/>
      <c r="U287" s="26"/>
      <c r="Z287" s="26"/>
    </row>
    <row r="288" customFormat="false" ht="15" hidden="false" customHeight="false" outlineLevel="0" collapsed="false">
      <c r="B288" s="24"/>
      <c r="C288" s="24"/>
      <c r="D288" s="24"/>
      <c r="U288" s="26"/>
      <c r="Z288" s="26"/>
    </row>
    <row r="289" customFormat="false" ht="15" hidden="false" customHeight="false" outlineLevel="0" collapsed="false">
      <c r="B289" s="24"/>
      <c r="C289" s="24"/>
      <c r="D289" s="24"/>
      <c r="U289" s="26"/>
      <c r="Z289" s="26"/>
    </row>
    <row r="290" customFormat="false" ht="15" hidden="false" customHeight="false" outlineLevel="0" collapsed="false">
      <c r="B290" s="24"/>
      <c r="C290" s="24"/>
      <c r="D290" s="24"/>
      <c r="U290" s="26"/>
      <c r="Z290" s="26"/>
    </row>
    <row r="291" customFormat="false" ht="15" hidden="false" customHeight="false" outlineLevel="0" collapsed="false">
      <c r="B291" s="24"/>
      <c r="C291" s="24"/>
      <c r="D291" s="24"/>
      <c r="U291" s="26"/>
      <c r="Z291" s="26"/>
    </row>
    <row r="292" customFormat="false" ht="15" hidden="false" customHeight="false" outlineLevel="0" collapsed="false">
      <c r="B292" s="24"/>
      <c r="C292" s="24"/>
      <c r="D292" s="24"/>
      <c r="U292" s="26"/>
      <c r="Z292" s="26"/>
    </row>
    <row r="293" customFormat="false" ht="15" hidden="false" customHeight="false" outlineLevel="0" collapsed="false">
      <c r="B293" s="24"/>
      <c r="C293" s="24"/>
      <c r="D293" s="24"/>
      <c r="U293" s="26"/>
      <c r="Z293" s="26"/>
    </row>
    <row r="294" customFormat="false" ht="15" hidden="false" customHeight="false" outlineLevel="0" collapsed="false">
      <c r="B294" s="24"/>
      <c r="C294" s="24"/>
      <c r="D294" s="24"/>
      <c r="U294" s="26"/>
      <c r="Z294" s="26"/>
    </row>
    <row r="295" customFormat="false" ht="15" hidden="false" customHeight="false" outlineLevel="0" collapsed="false">
      <c r="B295" s="24"/>
      <c r="C295" s="24"/>
      <c r="D295" s="24"/>
      <c r="U295" s="26"/>
      <c r="Z295" s="26"/>
    </row>
    <row r="296" customFormat="false" ht="15" hidden="false" customHeight="false" outlineLevel="0" collapsed="false">
      <c r="B296" s="24"/>
      <c r="C296" s="24"/>
      <c r="D296" s="24"/>
      <c r="U296" s="26"/>
      <c r="Z296" s="26"/>
    </row>
    <row r="297" customFormat="false" ht="15" hidden="false" customHeight="false" outlineLevel="0" collapsed="false">
      <c r="B297" s="24"/>
      <c r="C297" s="24"/>
      <c r="D297" s="24"/>
      <c r="U297" s="26"/>
      <c r="Z297" s="26"/>
    </row>
    <row r="298" customFormat="false" ht="15" hidden="false" customHeight="false" outlineLevel="0" collapsed="false">
      <c r="B298" s="24"/>
      <c r="C298" s="24"/>
      <c r="D298" s="24"/>
      <c r="U298" s="26"/>
      <c r="Z298" s="26"/>
    </row>
    <row r="299" customFormat="false" ht="15" hidden="false" customHeight="false" outlineLevel="0" collapsed="false">
      <c r="B299" s="24"/>
      <c r="C299" s="24"/>
      <c r="D299" s="24"/>
      <c r="U299" s="26"/>
      <c r="Z299" s="26"/>
    </row>
    <row r="300" customFormat="false" ht="15" hidden="false" customHeight="false" outlineLevel="0" collapsed="false">
      <c r="B300" s="24"/>
      <c r="C300" s="24"/>
      <c r="D300" s="24"/>
      <c r="U300" s="26"/>
      <c r="Z300" s="26"/>
    </row>
    <row r="301" customFormat="false" ht="15" hidden="false" customHeight="false" outlineLevel="0" collapsed="false">
      <c r="B301" s="24"/>
      <c r="C301" s="24"/>
      <c r="D301" s="24"/>
      <c r="U301" s="26"/>
      <c r="Z301" s="26"/>
    </row>
    <row r="302" customFormat="false" ht="15" hidden="false" customHeight="false" outlineLevel="0" collapsed="false">
      <c r="B302" s="24"/>
      <c r="C302" s="24"/>
      <c r="D302" s="24"/>
      <c r="U302" s="26"/>
      <c r="Z302" s="26"/>
    </row>
    <row r="303" customFormat="false" ht="15" hidden="false" customHeight="false" outlineLevel="0" collapsed="false">
      <c r="B303" s="24"/>
      <c r="C303" s="24"/>
      <c r="D303" s="24"/>
      <c r="U303" s="26"/>
      <c r="Z303" s="26"/>
    </row>
    <row r="304" customFormat="false" ht="15" hidden="false" customHeight="false" outlineLevel="0" collapsed="false">
      <c r="B304" s="24"/>
      <c r="C304" s="24"/>
      <c r="D304" s="24"/>
      <c r="U304" s="26"/>
      <c r="Z304" s="26"/>
    </row>
    <row r="305" customFormat="false" ht="15" hidden="false" customHeight="false" outlineLevel="0" collapsed="false">
      <c r="B305" s="24"/>
      <c r="C305" s="24"/>
      <c r="D305" s="24"/>
      <c r="U305" s="26"/>
      <c r="Z305" s="26"/>
    </row>
    <row r="306" customFormat="false" ht="15" hidden="false" customHeight="false" outlineLevel="0" collapsed="false">
      <c r="B306" s="24"/>
      <c r="C306" s="24"/>
      <c r="D306" s="24"/>
      <c r="U306" s="26"/>
      <c r="Z306" s="26"/>
    </row>
    <row r="307" customFormat="false" ht="15" hidden="false" customHeight="false" outlineLevel="0" collapsed="false">
      <c r="B307" s="24"/>
      <c r="C307" s="24"/>
      <c r="D307" s="24"/>
      <c r="U307" s="26"/>
      <c r="Z307" s="26"/>
    </row>
    <row r="308" customFormat="false" ht="15" hidden="false" customHeight="false" outlineLevel="0" collapsed="false">
      <c r="B308" s="24"/>
      <c r="C308" s="24"/>
      <c r="D308" s="24"/>
      <c r="U308" s="26"/>
      <c r="Z308" s="26"/>
    </row>
    <row r="309" customFormat="false" ht="15" hidden="false" customHeight="false" outlineLevel="0" collapsed="false">
      <c r="B309" s="24"/>
      <c r="C309" s="24"/>
      <c r="D309" s="24"/>
      <c r="U309" s="26"/>
      <c r="Z309" s="26"/>
    </row>
    <row r="310" customFormat="false" ht="15" hidden="false" customHeight="false" outlineLevel="0" collapsed="false">
      <c r="B310" s="24"/>
      <c r="C310" s="24"/>
      <c r="D310" s="24"/>
      <c r="U310" s="26"/>
      <c r="Z310" s="26"/>
    </row>
    <row r="311" customFormat="false" ht="15" hidden="false" customHeight="false" outlineLevel="0" collapsed="false">
      <c r="B311" s="24"/>
      <c r="C311" s="24"/>
      <c r="D311" s="24"/>
      <c r="U311" s="26"/>
      <c r="Z311" s="26"/>
    </row>
    <row r="312" customFormat="false" ht="15" hidden="false" customHeight="false" outlineLevel="0" collapsed="false">
      <c r="B312" s="24"/>
      <c r="C312" s="24"/>
      <c r="D312" s="24"/>
      <c r="U312" s="26"/>
      <c r="Z312" s="26"/>
    </row>
    <row r="313" customFormat="false" ht="15" hidden="false" customHeight="false" outlineLevel="0" collapsed="false">
      <c r="B313" s="24"/>
      <c r="C313" s="24"/>
      <c r="D313" s="24"/>
      <c r="U313" s="26"/>
      <c r="Z313" s="26"/>
    </row>
    <row r="314" customFormat="false" ht="15" hidden="false" customHeight="false" outlineLevel="0" collapsed="false">
      <c r="B314" s="24"/>
      <c r="C314" s="24"/>
      <c r="D314" s="24"/>
      <c r="U314" s="26"/>
      <c r="Z314" s="26"/>
    </row>
    <row r="315" customFormat="false" ht="15" hidden="false" customHeight="false" outlineLevel="0" collapsed="false">
      <c r="B315" s="24"/>
      <c r="C315" s="24"/>
      <c r="D315" s="24"/>
      <c r="U315" s="26"/>
      <c r="Z315" s="26"/>
    </row>
    <row r="316" customFormat="false" ht="15" hidden="false" customHeight="false" outlineLevel="0" collapsed="false">
      <c r="B316" s="24"/>
      <c r="C316" s="24"/>
      <c r="D316" s="24"/>
      <c r="U316" s="26"/>
      <c r="Z316" s="26"/>
    </row>
    <row r="317" customFormat="false" ht="15" hidden="false" customHeight="false" outlineLevel="0" collapsed="false">
      <c r="B317" s="24"/>
      <c r="C317" s="24"/>
      <c r="D317" s="24"/>
      <c r="U317" s="26"/>
      <c r="Z317" s="26"/>
    </row>
    <row r="318" customFormat="false" ht="15" hidden="false" customHeight="false" outlineLevel="0" collapsed="false">
      <c r="B318" s="24"/>
      <c r="C318" s="24"/>
      <c r="D318" s="24"/>
      <c r="U318" s="26"/>
      <c r="Z318" s="26"/>
    </row>
    <row r="319" customFormat="false" ht="15" hidden="false" customHeight="false" outlineLevel="0" collapsed="false">
      <c r="B319" s="24"/>
      <c r="C319" s="24"/>
      <c r="D319" s="24"/>
      <c r="U319" s="26"/>
      <c r="Z319" s="26"/>
    </row>
    <row r="320" customFormat="false" ht="15" hidden="false" customHeight="false" outlineLevel="0" collapsed="false">
      <c r="B320" s="24"/>
      <c r="C320" s="24"/>
      <c r="D320" s="24"/>
      <c r="U320" s="26"/>
      <c r="Z320" s="26"/>
    </row>
    <row r="321" customFormat="false" ht="15" hidden="false" customHeight="false" outlineLevel="0" collapsed="false">
      <c r="B321" s="24"/>
      <c r="C321" s="24"/>
      <c r="D321" s="24"/>
      <c r="U321" s="26"/>
      <c r="Z321" s="26"/>
    </row>
    <row r="322" customFormat="false" ht="15" hidden="false" customHeight="false" outlineLevel="0" collapsed="false">
      <c r="B322" s="24"/>
      <c r="C322" s="24"/>
      <c r="D322" s="24"/>
      <c r="U322" s="26"/>
      <c r="Z322" s="26"/>
    </row>
    <row r="323" customFormat="false" ht="15" hidden="false" customHeight="false" outlineLevel="0" collapsed="false">
      <c r="B323" s="24"/>
      <c r="C323" s="24"/>
      <c r="D323" s="24"/>
      <c r="U323" s="26"/>
      <c r="Z323" s="26"/>
    </row>
    <row r="324" customFormat="false" ht="15" hidden="false" customHeight="false" outlineLevel="0" collapsed="false">
      <c r="B324" s="24"/>
      <c r="C324" s="24"/>
      <c r="D324" s="24"/>
      <c r="U324" s="26"/>
      <c r="Z324" s="26"/>
    </row>
    <row r="325" customFormat="false" ht="15" hidden="false" customHeight="false" outlineLevel="0" collapsed="false">
      <c r="B325" s="24"/>
      <c r="C325" s="24"/>
      <c r="D325" s="24"/>
      <c r="U325" s="26"/>
      <c r="Z325" s="26"/>
    </row>
    <row r="326" customFormat="false" ht="15" hidden="false" customHeight="false" outlineLevel="0" collapsed="false">
      <c r="B326" s="24"/>
      <c r="C326" s="24"/>
      <c r="D326" s="24"/>
      <c r="U326" s="26"/>
      <c r="Z326" s="26"/>
    </row>
    <row r="327" customFormat="false" ht="15" hidden="false" customHeight="false" outlineLevel="0" collapsed="false">
      <c r="B327" s="24"/>
      <c r="C327" s="24"/>
      <c r="D327" s="24"/>
      <c r="U327" s="26"/>
      <c r="Z327" s="26"/>
    </row>
    <row r="328" customFormat="false" ht="15" hidden="false" customHeight="false" outlineLevel="0" collapsed="false">
      <c r="B328" s="24"/>
      <c r="C328" s="24"/>
      <c r="D328" s="24"/>
      <c r="U328" s="26"/>
      <c r="Z328" s="26"/>
    </row>
    <row r="329" customFormat="false" ht="15" hidden="false" customHeight="false" outlineLevel="0" collapsed="false">
      <c r="B329" s="24"/>
      <c r="C329" s="24"/>
      <c r="D329" s="24"/>
      <c r="U329" s="26"/>
      <c r="Z329" s="26"/>
    </row>
    <row r="330" customFormat="false" ht="15" hidden="false" customHeight="false" outlineLevel="0" collapsed="false">
      <c r="B330" s="24"/>
      <c r="C330" s="24"/>
      <c r="D330" s="24"/>
      <c r="U330" s="26"/>
      <c r="Z330" s="26"/>
    </row>
    <row r="331" customFormat="false" ht="15" hidden="false" customHeight="false" outlineLevel="0" collapsed="false">
      <c r="B331" s="24"/>
      <c r="C331" s="24"/>
      <c r="D331" s="24"/>
      <c r="U331" s="26"/>
      <c r="Z331" s="26"/>
    </row>
    <row r="332" customFormat="false" ht="15" hidden="false" customHeight="false" outlineLevel="0" collapsed="false">
      <c r="B332" s="24"/>
      <c r="C332" s="24"/>
      <c r="D332" s="24"/>
      <c r="U332" s="26"/>
      <c r="Z332" s="26"/>
    </row>
    <row r="333" customFormat="false" ht="15" hidden="false" customHeight="false" outlineLevel="0" collapsed="false">
      <c r="B333" s="24"/>
      <c r="C333" s="24"/>
      <c r="D333" s="24"/>
      <c r="U333" s="26"/>
      <c r="Z333" s="26"/>
    </row>
    <row r="334" customFormat="false" ht="15" hidden="false" customHeight="false" outlineLevel="0" collapsed="false">
      <c r="B334" s="24"/>
      <c r="C334" s="24"/>
      <c r="D334" s="24"/>
      <c r="U334" s="26"/>
      <c r="Z334" s="26"/>
    </row>
    <row r="335" customFormat="false" ht="15" hidden="false" customHeight="false" outlineLevel="0" collapsed="false">
      <c r="B335" s="24"/>
      <c r="C335" s="24"/>
      <c r="D335" s="24"/>
      <c r="U335" s="26"/>
      <c r="Z335" s="26"/>
    </row>
    <row r="336" customFormat="false" ht="15" hidden="false" customHeight="false" outlineLevel="0" collapsed="false">
      <c r="B336" s="24"/>
      <c r="C336" s="24"/>
      <c r="D336" s="24"/>
      <c r="U336" s="26"/>
      <c r="Z336" s="26"/>
    </row>
    <row r="337" customFormat="false" ht="15" hidden="false" customHeight="false" outlineLevel="0" collapsed="false">
      <c r="B337" s="24"/>
      <c r="C337" s="24"/>
      <c r="D337" s="24"/>
      <c r="U337" s="26"/>
      <c r="Z337" s="26"/>
    </row>
    <row r="338" customFormat="false" ht="15" hidden="false" customHeight="false" outlineLevel="0" collapsed="false">
      <c r="B338" s="24"/>
      <c r="C338" s="24"/>
      <c r="D338" s="24"/>
      <c r="U338" s="26"/>
      <c r="Z338" s="26"/>
    </row>
    <row r="339" customFormat="false" ht="15" hidden="false" customHeight="false" outlineLevel="0" collapsed="false">
      <c r="B339" s="24"/>
      <c r="C339" s="24"/>
      <c r="D339" s="24"/>
      <c r="U339" s="26"/>
      <c r="Z339" s="26"/>
    </row>
    <row r="340" customFormat="false" ht="15" hidden="false" customHeight="false" outlineLevel="0" collapsed="false">
      <c r="B340" s="24"/>
      <c r="C340" s="24"/>
      <c r="D340" s="24"/>
      <c r="U340" s="26"/>
      <c r="Z340" s="26"/>
    </row>
    <row r="341" customFormat="false" ht="15" hidden="false" customHeight="false" outlineLevel="0" collapsed="false">
      <c r="B341" s="24"/>
      <c r="C341" s="24"/>
      <c r="D341" s="24"/>
      <c r="U341" s="26"/>
      <c r="Z341" s="26"/>
    </row>
    <row r="342" customFormat="false" ht="15" hidden="false" customHeight="false" outlineLevel="0" collapsed="false">
      <c r="B342" s="24"/>
      <c r="C342" s="24"/>
      <c r="D342" s="24"/>
      <c r="U342" s="26"/>
      <c r="Z342" s="26"/>
    </row>
    <row r="343" customFormat="false" ht="15" hidden="false" customHeight="false" outlineLevel="0" collapsed="false">
      <c r="B343" s="24"/>
      <c r="C343" s="24"/>
      <c r="D343" s="24"/>
      <c r="U343" s="26"/>
      <c r="Z343" s="26"/>
    </row>
    <row r="344" customFormat="false" ht="15" hidden="false" customHeight="false" outlineLevel="0" collapsed="false">
      <c r="B344" s="24"/>
      <c r="C344" s="24"/>
      <c r="D344" s="24"/>
      <c r="U344" s="26"/>
      <c r="Z344" s="26"/>
    </row>
    <row r="345" customFormat="false" ht="15" hidden="false" customHeight="false" outlineLevel="0" collapsed="false">
      <c r="B345" s="24"/>
      <c r="C345" s="24"/>
      <c r="D345" s="24"/>
      <c r="U345" s="26"/>
      <c r="Z345" s="26"/>
    </row>
    <row r="346" customFormat="false" ht="15" hidden="false" customHeight="false" outlineLevel="0" collapsed="false">
      <c r="B346" s="24"/>
      <c r="C346" s="24"/>
      <c r="D346" s="24"/>
      <c r="U346" s="26"/>
      <c r="Z346" s="26"/>
    </row>
    <row r="347" customFormat="false" ht="15" hidden="false" customHeight="false" outlineLevel="0" collapsed="false">
      <c r="B347" s="24"/>
      <c r="C347" s="24"/>
      <c r="D347" s="24"/>
      <c r="U347" s="26"/>
      <c r="Z347" s="26"/>
    </row>
    <row r="348" customFormat="false" ht="15" hidden="false" customHeight="false" outlineLevel="0" collapsed="false">
      <c r="B348" s="24"/>
      <c r="C348" s="24"/>
      <c r="D348" s="24"/>
      <c r="U348" s="26"/>
      <c r="Z348" s="26"/>
    </row>
    <row r="349" customFormat="false" ht="15" hidden="false" customHeight="false" outlineLevel="0" collapsed="false">
      <c r="B349" s="24"/>
      <c r="C349" s="24"/>
      <c r="D349" s="24"/>
      <c r="U349" s="26"/>
      <c r="Z349" s="26"/>
    </row>
    <row r="350" customFormat="false" ht="15" hidden="false" customHeight="false" outlineLevel="0" collapsed="false">
      <c r="B350" s="24"/>
      <c r="C350" s="24"/>
      <c r="D350" s="24"/>
      <c r="U350" s="26"/>
      <c r="Z350" s="26"/>
    </row>
    <row r="351" customFormat="false" ht="15" hidden="false" customHeight="false" outlineLevel="0" collapsed="false">
      <c r="B351" s="24"/>
      <c r="C351" s="24"/>
      <c r="D351" s="24"/>
      <c r="U351" s="26"/>
      <c r="Z351" s="26"/>
    </row>
    <row r="352" customFormat="false" ht="15" hidden="false" customHeight="false" outlineLevel="0" collapsed="false">
      <c r="B352" s="24"/>
      <c r="C352" s="24"/>
      <c r="D352" s="24"/>
      <c r="U352" s="26"/>
      <c r="Z352" s="26"/>
    </row>
    <row r="353" customFormat="false" ht="15" hidden="false" customHeight="false" outlineLevel="0" collapsed="false">
      <c r="B353" s="24"/>
      <c r="C353" s="24"/>
      <c r="D353" s="24"/>
      <c r="U353" s="26"/>
      <c r="Z353" s="26"/>
    </row>
    <row r="354" customFormat="false" ht="15" hidden="false" customHeight="false" outlineLevel="0" collapsed="false">
      <c r="B354" s="24"/>
      <c r="C354" s="24"/>
      <c r="D354" s="24"/>
      <c r="U354" s="26"/>
      <c r="Z354" s="26"/>
    </row>
    <row r="355" customFormat="false" ht="15" hidden="false" customHeight="false" outlineLevel="0" collapsed="false">
      <c r="B355" s="24"/>
      <c r="C355" s="24"/>
      <c r="D355" s="24"/>
      <c r="U355" s="26"/>
      <c r="Z355" s="26"/>
    </row>
    <row r="356" customFormat="false" ht="15" hidden="false" customHeight="false" outlineLevel="0" collapsed="false">
      <c r="B356" s="24"/>
      <c r="C356" s="24"/>
      <c r="D356" s="24"/>
      <c r="U356" s="26"/>
      <c r="Z356" s="26"/>
    </row>
    <row r="357" customFormat="false" ht="15" hidden="false" customHeight="false" outlineLevel="0" collapsed="false">
      <c r="B357" s="24"/>
      <c r="C357" s="24"/>
      <c r="D357" s="24"/>
      <c r="U357" s="26"/>
      <c r="Z357" s="26"/>
    </row>
    <row r="358" customFormat="false" ht="15" hidden="false" customHeight="false" outlineLevel="0" collapsed="false">
      <c r="B358" s="24"/>
      <c r="C358" s="24"/>
      <c r="D358" s="24"/>
      <c r="U358" s="26"/>
      <c r="Z358" s="26"/>
    </row>
    <row r="359" customFormat="false" ht="15" hidden="false" customHeight="false" outlineLevel="0" collapsed="false">
      <c r="B359" s="24"/>
      <c r="C359" s="24"/>
      <c r="D359" s="24"/>
      <c r="U359" s="26"/>
      <c r="Z359" s="26"/>
    </row>
    <row r="360" customFormat="false" ht="15" hidden="false" customHeight="false" outlineLevel="0" collapsed="false">
      <c r="B360" s="24"/>
      <c r="C360" s="24"/>
      <c r="D360" s="24"/>
      <c r="U360" s="26"/>
      <c r="Z360" s="26"/>
    </row>
    <row r="361" customFormat="false" ht="15" hidden="false" customHeight="false" outlineLevel="0" collapsed="false">
      <c r="B361" s="24"/>
      <c r="C361" s="24"/>
      <c r="D361" s="24"/>
      <c r="U361" s="26"/>
      <c r="Z361" s="26"/>
    </row>
    <row r="362" customFormat="false" ht="15" hidden="false" customHeight="false" outlineLevel="0" collapsed="false">
      <c r="B362" s="24"/>
      <c r="C362" s="24"/>
      <c r="D362" s="24"/>
      <c r="U362" s="26"/>
      <c r="Z362" s="26"/>
    </row>
    <row r="363" customFormat="false" ht="15" hidden="false" customHeight="false" outlineLevel="0" collapsed="false">
      <c r="B363" s="24"/>
      <c r="C363" s="24"/>
      <c r="D363" s="24"/>
      <c r="U363" s="26"/>
      <c r="Z363" s="26"/>
    </row>
    <row r="364" customFormat="false" ht="15" hidden="false" customHeight="false" outlineLevel="0" collapsed="false">
      <c r="B364" s="24"/>
      <c r="C364" s="24"/>
      <c r="D364" s="24"/>
      <c r="U364" s="26"/>
      <c r="Z364" s="26"/>
    </row>
    <row r="365" customFormat="false" ht="15" hidden="false" customHeight="false" outlineLevel="0" collapsed="false">
      <c r="B365" s="24"/>
      <c r="C365" s="24"/>
      <c r="D365" s="24"/>
      <c r="U365" s="26"/>
      <c r="Z365" s="26"/>
    </row>
    <row r="366" customFormat="false" ht="15" hidden="false" customHeight="false" outlineLevel="0" collapsed="false">
      <c r="B366" s="24"/>
      <c r="C366" s="24"/>
      <c r="D366" s="24"/>
      <c r="U366" s="26"/>
      <c r="Z366" s="26"/>
    </row>
    <row r="367" customFormat="false" ht="15" hidden="false" customHeight="false" outlineLevel="0" collapsed="false">
      <c r="B367" s="24"/>
      <c r="C367" s="24"/>
      <c r="D367" s="24"/>
      <c r="U367" s="26"/>
      <c r="Z367" s="26"/>
    </row>
    <row r="368" customFormat="false" ht="15" hidden="false" customHeight="false" outlineLevel="0" collapsed="false">
      <c r="B368" s="24"/>
      <c r="C368" s="24"/>
      <c r="D368" s="24"/>
      <c r="U368" s="26"/>
      <c r="Z368" s="26"/>
    </row>
    <row r="369" customFormat="false" ht="15" hidden="false" customHeight="false" outlineLevel="0" collapsed="false">
      <c r="B369" s="24"/>
      <c r="C369" s="24"/>
      <c r="D369" s="24"/>
      <c r="U369" s="26"/>
      <c r="Z369" s="26"/>
    </row>
    <row r="370" customFormat="false" ht="15" hidden="false" customHeight="false" outlineLevel="0" collapsed="false">
      <c r="B370" s="24"/>
      <c r="C370" s="24"/>
      <c r="D370" s="24"/>
      <c r="U370" s="26"/>
      <c r="Z370" s="26"/>
    </row>
    <row r="371" customFormat="false" ht="15" hidden="false" customHeight="false" outlineLevel="0" collapsed="false">
      <c r="B371" s="24"/>
      <c r="C371" s="24"/>
      <c r="D371" s="24"/>
      <c r="U371" s="26"/>
      <c r="Z371" s="26"/>
    </row>
    <row r="372" customFormat="false" ht="15" hidden="false" customHeight="false" outlineLevel="0" collapsed="false">
      <c r="B372" s="24"/>
      <c r="C372" s="24"/>
      <c r="D372" s="24"/>
      <c r="U372" s="26"/>
      <c r="Z372" s="26"/>
    </row>
    <row r="373" customFormat="false" ht="15" hidden="false" customHeight="false" outlineLevel="0" collapsed="false">
      <c r="B373" s="24"/>
      <c r="C373" s="24"/>
      <c r="D373" s="24"/>
      <c r="U373" s="26"/>
      <c r="Z373" s="26"/>
    </row>
    <row r="374" customFormat="false" ht="15" hidden="false" customHeight="false" outlineLevel="0" collapsed="false">
      <c r="B374" s="24"/>
      <c r="C374" s="24"/>
      <c r="D374" s="24"/>
      <c r="U374" s="26"/>
      <c r="Z374" s="26"/>
    </row>
    <row r="375" customFormat="false" ht="15" hidden="false" customHeight="false" outlineLevel="0" collapsed="false">
      <c r="B375" s="24"/>
      <c r="C375" s="24"/>
      <c r="D375" s="24"/>
      <c r="U375" s="26"/>
      <c r="Z375" s="26"/>
    </row>
    <row r="376" customFormat="false" ht="15" hidden="false" customHeight="false" outlineLevel="0" collapsed="false">
      <c r="B376" s="24"/>
      <c r="C376" s="24"/>
      <c r="D376" s="24"/>
      <c r="U376" s="26"/>
      <c r="Z376" s="26"/>
    </row>
    <row r="377" customFormat="false" ht="15" hidden="false" customHeight="false" outlineLevel="0" collapsed="false">
      <c r="B377" s="24"/>
      <c r="C377" s="24"/>
      <c r="D377" s="24"/>
      <c r="U377" s="26"/>
      <c r="Z377" s="26"/>
    </row>
    <row r="378" customFormat="false" ht="15" hidden="false" customHeight="false" outlineLevel="0" collapsed="false">
      <c r="B378" s="24"/>
      <c r="C378" s="24"/>
      <c r="D378" s="24"/>
      <c r="U378" s="26"/>
      <c r="Z378" s="26"/>
    </row>
    <row r="379" customFormat="false" ht="15" hidden="false" customHeight="false" outlineLevel="0" collapsed="false">
      <c r="B379" s="24"/>
      <c r="C379" s="24"/>
      <c r="D379" s="24"/>
      <c r="U379" s="26"/>
      <c r="Z379" s="26"/>
    </row>
    <row r="380" customFormat="false" ht="15" hidden="false" customHeight="false" outlineLevel="0" collapsed="false">
      <c r="B380" s="24"/>
      <c r="C380" s="24"/>
      <c r="D380" s="24"/>
      <c r="U380" s="26"/>
      <c r="Z380" s="26"/>
    </row>
    <row r="381" customFormat="false" ht="15" hidden="false" customHeight="false" outlineLevel="0" collapsed="false">
      <c r="B381" s="24"/>
      <c r="C381" s="24"/>
      <c r="D381" s="24"/>
      <c r="U381" s="26"/>
      <c r="Z381" s="26"/>
    </row>
    <row r="382" customFormat="false" ht="15" hidden="false" customHeight="false" outlineLevel="0" collapsed="false">
      <c r="B382" s="24"/>
      <c r="C382" s="24"/>
      <c r="D382" s="24"/>
      <c r="U382" s="26"/>
      <c r="Z382" s="26"/>
    </row>
    <row r="383" customFormat="false" ht="15" hidden="false" customHeight="false" outlineLevel="0" collapsed="false">
      <c r="B383" s="24"/>
      <c r="C383" s="24"/>
      <c r="D383" s="24"/>
      <c r="U383" s="26"/>
      <c r="Z383" s="26"/>
    </row>
    <row r="384" customFormat="false" ht="15" hidden="false" customHeight="false" outlineLevel="0" collapsed="false">
      <c r="B384" s="24"/>
      <c r="C384" s="24"/>
      <c r="D384" s="24"/>
      <c r="U384" s="26"/>
      <c r="Z384" s="26"/>
    </row>
    <row r="385" customFormat="false" ht="15" hidden="false" customHeight="false" outlineLevel="0" collapsed="false">
      <c r="B385" s="24"/>
      <c r="C385" s="24"/>
      <c r="D385" s="24"/>
      <c r="U385" s="26"/>
      <c r="Z385" s="26"/>
    </row>
    <row r="386" customFormat="false" ht="15" hidden="false" customHeight="false" outlineLevel="0" collapsed="false">
      <c r="B386" s="24"/>
      <c r="C386" s="24"/>
      <c r="D386" s="24"/>
      <c r="U386" s="26"/>
      <c r="Z386" s="26"/>
    </row>
    <row r="387" customFormat="false" ht="15" hidden="false" customHeight="false" outlineLevel="0" collapsed="false">
      <c r="B387" s="24"/>
      <c r="C387" s="24"/>
      <c r="D387" s="24"/>
      <c r="U387" s="26"/>
      <c r="Z387" s="26"/>
    </row>
    <row r="388" customFormat="false" ht="15" hidden="false" customHeight="false" outlineLevel="0" collapsed="false">
      <c r="B388" s="24"/>
      <c r="C388" s="24"/>
      <c r="D388" s="24"/>
      <c r="U388" s="26"/>
      <c r="Z388" s="26"/>
    </row>
    <row r="389" customFormat="false" ht="15" hidden="false" customHeight="false" outlineLevel="0" collapsed="false">
      <c r="B389" s="24"/>
      <c r="C389" s="24"/>
      <c r="D389" s="24"/>
      <c r="U389" s="26"/>
      <c r="Z389" s="26"/>
    </row>
    <row r="390" customFormat="false" ht="15" hidden="false" customHeight="false" outlineLevel="0" collapsed="false">
      <c r="B390" s="24"/>
      <c r="C390" s="24"/>
      <c r="D390" s="24"/>
      <c r="U390" s="26"/>
      <c r="Z390" s="26"/>
    </row>
    <row r="391" customFormat="false" ht="15" hidden="false" customHeight="false" outlineLevel="0" collapsed="false">
      <c r="B391" s="24"/>
      <c r="C391" s="24"/>
      <c r="D391" s="24"/>
      <c r="U391" s="26"/>
      <c r="Z391" s="26"/>
    </row>
    <row r="392" customFormat="false" ht="15" hidden="false" customHeight="false" outlineLevel="0" collapsed="false">
      <c r="B392" s="24"/>
      <c r="C392" s="24"/>
      <c r="D392" s="24"/>
      <c r="U392" s="26"/>
      <c r="Z392" s="26"/>
    </row>
    <row r="393" customFormat="false" ht="15" hidden="false" customHeight="false" outlineLevel="0" collapsed="false">
      <c r="B393" s="24"/>
      <c r="C393" s="24"/>
      <c r="D393" s="24"/>
      <c r="U393" s="26"/>
      <c r="Z393" s="26"/>
    </row>
    <row r="394" customFormat="false" ht="15" hidden="false" customHeight="false" outlineLevel="0" collapsed="false">
      <c r="B394" s="24"/>
      <c r="C394" s="24"/>
      <c r="D394" s="24"/>
      <c r="U394" s="26"/>
      <c r="Z394" s="26"/>
    </row>
    <row r="395" customFormat="false" ht="15" hidden="false" customHeight="false" outlineLevel="0" collapsed="false">
      <c r="B395" s="24"/>
      <c r="C395" s="24"/>
      <c r="D395" s="24"/>
      <c r="U395" s="26"/>
      <c r="Z395" s="26"/>
    </row>
    <row r="396" customFormat="false" ht="15" hidden="false" customHeight="false" outlineLevel="0" collapsed="false">
      <c r="B396" s="24"/>
      <c r="C396" s="24"/>
      <c r="D396" s="24"/>
      <c r="U396" s="26"/>
      <c r="Z396" s="26"/>
    </row>
    <row r="397" customFormat="false" ht="15" hidden="false" customHeight="false" outlineLevel="0" collapsed="false">
      <c r="B397" s="24"/>
      <c r="C397" s="24"/>
      <c r="D397" s="24"/>
      <c r="U397" s="26"/>
      <c r="Z397" s="26"/>
    </row>
    <row r="398" customFormat="false" ht="15" hidden="false" customHeight="false" outlineLevel="0" collapsed="false">
      <c r="B398" s="24"/>
      <c r="C398" s="24"/>
      <c r="D398" s="24"/>
      <c r="U398" s="26"/>
      <c r="Z398" s="26"/>
    </row>
    <row r="399" customFormat="false" ht="15" hidden="false" customHeight="false" outlineLevel="0" collapsed="false">
      <c r="B399" s="24"/>
      <c r="C399" s="24"/>
      <c r="D399" s="24"/>
      <c r="U399" s="26"/>
      <c r="Z399" s="26"/>
    </row>
    <row r="400" customFormat="false" ht="15" hidden="false" customHeight="false" outlineLevel="0" collapsed="false">
      <c r="B400" s="24"/>
      <c r="C400" s="24"/>
      <c r="D400" s="24"/>
      <c r="U400" s="26"/>
      <c r="Z400" s="26"/>
    </row>
    <row r="401" customFormat="false" ht="15" hidden="false" customHeight="false" outlineLevel="0" collapsed="false">
      <c r="B401" s="24"/>
      <c r="C401" s="24"/>
      <c r="D401" s="24"/>
      <c r="U401" s="26"/>
      <c r="Z401" s="26"/>
    </row>
    <row r="402" customFormat="false" ht="15" hidden="false" customHeight="false" outlineLevel="0" collapsed="false">
      <c r="B402" s="24"/>
      <c r="C402" s="24"/>
      <c r="D402" s="24"/>
      <c r="U402" s="26"/>
      <c r="Z402" s="26"/>
    </row>
    <row r="403" customFormat="false" ht="15" hidden="false" customHeight="false" outlineLevel="0" collapsed="false">
      <c r="B403" s="24"/>
      <c r="C403" s="24"/>
      <c r="D403" s="24"/>
      <c r="U403" s="26"/>
      <c r="Z403" s="26"/>
    </row>
    <row r="404" customFormat="false" ht="15" hidden="false" customHeight="false" outlineLevel="0" collapsed="false">
      <c r="B404" s="24"/>
      <c r="C404" s="24"/>
      <c r="D404" s="24"/>
      <c r="U404" s="26"/>
      <c r="Z404" s="26"/>
    </row>
    <row r="405" customFormat="false" ht="15" hidden="false" customHeight="false" outlineLevel="0" collapsed="false">
      <c r="B405" s="24"/>
      <c r="C405" s="24"/>
      <c r="D405" s="24"/>
      <c r="U405" s="26"/>
      <c r="Z405" s="26"/>
    </row>
    <row r="406" customFormat="false" ht="15" hidden="false" customHeight="false" outlineLevel="0" collapsed="false">
      <c r="B406" s="24"/>
      <c r="C406" s="24"/>
      <c r="D406" s="24"/>
      <c r="U406" s="26"/>
      <c r="Z406" s="26"/>
    </row>
    <row r="407" customFormat="false" ht="15" hidden="false" customHeight="false" outlineLevel="0" collapsed="false">
      <c r="B407" s="24"/>
      <c r="C407" s="24"/>
      <c r="D407" s="24"/>
      <c r="U407" s="26"/>
      <c r="Z407" s="26"/>
    </row>
    <row r="408" customFormat="false" ht="15" hidden="false" customHeight="false" outlineLevel="0" collapsed="false">
      <c r="B408" s="24"/>
      <c r="C408" s="24"/>
      <c r="D408" s="24"/>
      <c r="U408" s="26"/>
      <c r="Z408" s="26"/>
    </row>
    <row r="409" customFormat="false" ht="15" hidden="false" customHeight="false" outlineLevel="0" collapsed="false">
      <c r="B409" s="24"/>
      <c r="C409" s="24"/>
      <c r="D409" s="24"/>
      <c r="U409" s="26"/>
      <c r="Z409" s="26"/>
    </row>
    <row r="410" customFormat="false" ht="15" hidden="false" customHeight="false" outlineLevel="0" collapsed="false">
      <c r="B410" s="24"/>
      <c r="C410" s="24"/>
      <c r="D410" s="24"/>
      <c r="U410" s="26"/>
      <c r="Z410" s="26"/>
    </row>
    <row r="411" customFormat="false" ht="15" hidden="false" customHeight="false" outlineLevel="0" collapsed="false">
      <c r="B411" s="24"/>
      <c r="C411" s="24"/>
      <c r="D411" s="24"/>
      <c r="U411" s="26"/>
      <c r="Z411" s="26"/>
    </row>
    <row r="412" customFormat="false" ht="15" hidden="false" customHeight="false" outlineLevel="0" collapsed="false">
      <c r="B412" s="24"/>
      <c r="C412" s="24"/>
      <c r="D412" s="24"/>
      <c r="U412" s="26"/>
      <c r="Z412" s="26"/>
    </row>
    <row r="413" customFormat="false" ht="15" hidden="false" customHeight="false" outlineLevel="0" collapsed="false">
      <c r="B413" s="24"/>
      <c r="C413" s="24"/>
      <c r="D413" s="24"/>
      <c r="U413" s="26"/>
      <c r="Z413" s="26"/>
    </row>
    <row r="414" customFormat="false" ht="15" hidden="false" customHeight="false" outlineLevel="0" collapsed="false">
      <c r="B414" s="24"/>
      <c r="C414" s="24"/>
      <c r="D414" s="24"/>
      <c r="U414" s="26"/>
      <c r="Z414" s="26"/>
    </row>
    <row r="415" customFormat="false" ht="15" hidden="false" customHeight="false" outlineLevel="0" collapsed="false">
      <c r="B415" s="24"/>
      <c r="C415" s="24"/>
      <c r="D415" s="24"/>
      <c r="U415" s="26"/>
      <c r="Z415" s="26"/>
    </row>
    <row r="416" customFormat="false" ht="15" hidden="false" customHeight="false" outlineLevel="0" collapsed="false">
      <c r="B416" s="24"/>
      <c r="C416" s="24"/>
      <c r="D416" s="24"/>
      <c r="U416" s="26"/>
      <c r="Z416" s="26"/>
    </row>
    <row r="417" customFormat="false" ht="15" hidden="false" customHeight="false" outlineLevel="0" collapsed="false">
      <c r="B417" s="24"/>
      <c r="C417" s="24"/>
      <c r="D417" s="24"/>
      <c r="U417" s="26"/>
      <c r="Z417" s="26"/>
    </row>
    <row r="418" customFormat="false" ht="15" hidden="false" customHeight="false" outlineLevel="0" collapsed="false">
      <c r="B418" s="24"/>
      <c r="C418" s="24"/>
      <c r="D418" s="24"/>
      <c r="U418" s="26"/>
      <c r="Z418" s="26"/>
    </row>
    <row r="419" customFormat="false" ht="15" hidden="false" customHeight="false" outlineLevel="0" collapsed="false">
      <c r="B419" s="24"/>
      <c r="C419" s="24"/>
      <c r="D419" s="24"/>
      <c r="U419" s="26"/>
      <c r="Z419" s="26"/>
    </row>
    <row r="420" customFormat="false" ht="15" hidden="false" customHeight="false" outlineLevel="0" collapsed="false">
      <c r="B420" s="24"/>
      <c r="C420" s="24"/>
      <c r="D420" s="24"/>
      <c r="U420" s="26"/>
      <c r="Z420" s="26"/>
    </row>
    <row r="421" customFormat="false" ht="15" hidden="false" customHeight="false" outlineLevel="0" collapsed="false">
      <c r="B421" s="24"/>
      <c r="C421" s="24"/>
      <c r="D421" s="24"/>
      <c r="U421" s="26"/>
      <c r="Z421" s="26"/>
    </row>
    <row r="422" customFormat="false" ht="15" hidden="false" customHeight="false" outlineLevel="0" collapsed="false">
      <c r="B422" s="24"/>
      <c r="C422" s="24"/>
      <c r="D422" s="24"/>
      <c r="U422" s="26"/>
      <c r="Z422" s="26"/>
    </row>
    <row r="423" customFormat="false" ht="15" hidden="false" customHeight="false" outlineLevel="0" collapsed="false">
      <c r="B423" s="24"/>
      <c r="C423" s="24"/>
      <c r="D423" s="24"/>
      <c r="U423" s="26"/>
      <c r="Z423" s="26"/>
    </row>
    <row r="424" customFormat="false" ht="15" hidden="false" customHeight="false" outlineLevel="0" collapsed="false">
      <c r="B424" s="24"/>
      <c r="C424" s="24"/>
      <c r="D424" s="24"/>
      <c r="U424" s="26"/>
      <c r="Z424" s="26"/>
    </row>
    <row r="425" customFormat="false" ht="15" hidden="false" customHeight="false" outlineLevel="0" collapsed="false">
      <c r="B425" s="24"/>
      <c r="C425" s="24"/>
      <c r="D425" s="24"/>
      <c r="U425" s="26"/>
      <c r="Z425" s="26"/>
    </row>
    <row r="426" customFormat="false" ht="15" hidden="false" customHeight="false" outlineLevel="0" collapsed="false">
      <c r="B426" s="24"/>
      <c r="C426" s="24"/>
      <c r="D426" s="24"/>
      <c r="U426" s="26"/>
      <c r="Z426" s="26"/>
    </row>
    <row r="427" customFormat="false" ht="15" hidden="false" customHeight="false" outlineLevel="0" collapsed="false">
      <c r="B427" s="24"/>
      <c r="C427" s="24"/>
      <c r="D427" s="24"/>
      <c r="U427" s="26"/>
      <c r="Z427" s="26"/>
    </row>
    <row r="428" customFormat="false" ht="15" hidden="false" customHeight="false" outlineLevel="0" collapsed="false">
      <c r="B428" s="24"/>
      <c r="C428" s="24"/>
      <c r="D428" s="24"/>
      <c r="U428" s="26"/>
      <c r="Z428" s="26"/>
    </row>
    <row r="429" customFormat="false" ht="15" hidden="false" customHeight="false" outlineLevel="0" collapsed="false">
      <c r="B429" s="24"/>
      <c r="C429" s="24"/>
      <c r="D429" s="24"/>
      <c r="U429" s="26"/>
      <c r="Z429" s="26"/>
    </row>
    <row r="430" customFormat="false" ht="15" hidden="false" customHeight="false" outlineLevel="0" collapsed="false">
      <c r="B430" s="24"/>
      <c r="C430" s="24"/>
      <c r="D430" s="24"/>
      <c r="U430" s="26"/>
      <c r="Z430" s="26"/>
    </row>
    <row r="431" customFormat="false" ht="15" hidden="false" customHeight="false" outlineLevel="0" collapsed="false">
      <c r="B431" s="24"/>
      <c r="C431" s="24"/>
      <c r="D431" s="24"/>
      <c r="U431" s="26"/>
      <c r="Z431" s="26"/>
    </row>
    <row r="432" customFormat="false" ht="15" hidden="false" customHeight="false" outlineLevel="0" collapsed="false">
      <c r="B432" s="24"/>
      <c r="C432" s="24"/>
      <c r="D432" s="24"/>
      <c r="U432" s="26"/>
      <c r="Z432" s="26"/>
    </row>
    <row r="433" customFormat="false" ht="15" hidden="false" customHeight="false" outlineLevel="0" collapsed="false">
      <c r="B433" s="24"/>
      <c r="C433" s="24"/>
      <c r="D433" s="24"/>
      <c r="U433" s="26"/>
      <c r="Z433" s="26"/>
    </row>
    <row r="434" customFormat="false" ht="15" hidden="false" customHeight="false" outlineLevel="0" collapsed="false">
      <c r="B434" s="24"/>
      <c r="C434" s="24"/>
      <c r="D434" s="24"/>
      <c r="U434" s="26"/>
      <c r="Z434" s="26"/>
    </row>
    <row r="435" customFormat="false" ht="15" hidden="false" customHeight="false" outlineLevel="0" collapsed="false">
      <c r="B435" s="24"/>
      <c r="C435" s="24"/>
      <c r="D435" s="24"/>
      <c r="U435" s="26"/>
      <c r="Z435" s="26"/>
    </row>
    <row r="436" customFormat="false" ht="15" hidden="false" customHeight="false" outlineLevel="0" collapsed="false">
      <c r="B436" s="24"/>
      <c r="C436" s="24"/>
      <c r="D436" s="24"/>
      <c r="U436" s="26"/>
      <c r="Z436" s="26"/>
    </row>
    <row r="437" customFormat="false" ht="15" hidden="false" customHeight="false" outlineLevel="0" collapsed="false">
      <c r="B437" s="24"/>
      <c r="C437" s="24"/>
      <c r="D437" s="24"/>
      <c r="U437" s="26"/>
      <c r="Z437" s="26"/>
    </row>
    <row r="438" customFormat="false" ht="15" hidden="false" customHeight="false" outlineLevel="0" collapsed="false">
      <c r="B438" s="24"/>
      <c r="C438" s="24"/>
      <c r="D438" s="24"/>
      <c r="U438" s="26"/>
      <c r="Z438" s="26"/>
    </row>
    <row r="439" customFormat="false" ht="15" hidden="false" customHeight="false" outlineLevel="0" collapsed="false">
      <c r="B439" s="24"/>
      <c r="C439" s="24"/>
      <c r="D439" s="24"/>
      <c r="U439" s="26"/>
      <c r="Z439" s="26"/>
    </row>
    <row r="440" customFormat="false" ht="15" hidden="false" customHeight="false" outlineLevel="0" collapsed="false">
      <c r="B440" s="24"/>
      <c r="C440" s="24"/>
      <c r="D440" s="24"/>
      <c r="U440" s="26"/>
      <c r="Z440" s="26"/>
    </row>
    <row r="441" customFormat="false" ht="15" hidden="false" customHeight="false" outlineLevel="0" collapsed="false">
      <c r="B441" s="24"/>
      <c r="C441" s="24"/>
      <c r="D441" s="24"/>
      <c r="U441" s="26"/>
      <c r="Z441" s="26"/>
    </row>
    <row r="442" customFormat="false" ht="15" hidden="false" customHeight="false" outlineLevel="0" collapsed="false">
      <c r="B442" s="24"/>
      <c r="C442" s="24"/>
      <c r="D442" s="24"/>
      <c r="U442" s="26"/>
      <c r="Z442" s="26"/>
    </row>
    <row r="443" customFormat="false" ht="15" hidden="false" customHeight="false" outlineLevel="0" collapsed="false">
      <c r="B443" s="24"/>
      <c r="C443" s="24"/>
      <c r="D443" s="24"/>
      <c r="U443" s="26"/>
      <c r="Z443" s="26"/>
    </row>
    <row r="444" customFormat="false" ht="15" hidden="false" customHeight="false" outlineLevel="0" collapsed="false">
      <c r="B444" s="24"/>
      <c r="C444" s="24"/>
      <c r="D444" s="24"/>
      <c r="U444" s="26"/>
      <c r="Z444" s="26"/>
    </row>
    <row r="445" customFormat="false" ht="15" hidden="false" customHeight="false" outlineLevel="0" collapsed="false">
      <c r="B445" s="24"/>
      <c r="C445" s="24"/>
      <c r="D445" s="24"/>
      <c r="U445" s="26"/>
      <c r="Z445" s="26"/>
    </row>
    <row r="446" customFormat="false" ht="15" hidden="false" customHeight="false" outlineLevel="0" collapsed="false">
      <c r="B446" s="24"/>
      <c r="C446" s="24"/>
      <c r="D446" s="24"/>
      <c r="U446" s="26"/>
      <c r="Z446" s="26"/>
    </row>
    <row r="447" customFormat="false" ht="15" hidden="false" customHeight="false" outlineLevel="0" collapsed="false">
      <c r="B447" s="24"/>
      <c r="C447" s="24"/>
      <c r="D447" s="24"/>
      <c r="U447" s="26"/>
      <c r="Z447" s="26"/>
    </row>
    <row r="448" customFormat="false" ht="15" hidden="false" customHeight="false" outlineLevel="0" collapsed="false">
      <c r="B448" s="24"/>
      <c r="C448" s="24"/>
      <c r="D448" s="24"/>
      <c r="U448" s="26"/>
      <c r="Z448" s="26"/>
    </row>
    <row r="449" customFormat="false" ht="15" hidden="false" customHeight="false" outlineLevel="0" collapsed="false">
      <c r="B449" s="24"/>
      <c r="C449" s="24"/>
      <c r="D449" s="24"/>
      <c r="U449" s="26"/>
      <c r="Z449" s="26"/>
    </row>
    <row r="450" customFormat="false" ht="15" hidden="false" customHeight="false" outlineLevel="0" collapsed="false">
      <c r="B450" s="24"/>
      <c r="C450" s="24"/>
      <c r="D450" s="24"/>
      <c r="U450" s="26"/>
      <c r="Z450" s="26"/>
    </row>
    <row r="451" customFormat="false" ht="15" hidden="false" customHeight="false" outlineLevel="0" collapsed="false">
      <c r="B451" s="24"/>
      <c r="C451" s="24"/>
      <c r="D451" s="24"/>
      <c r="U451" s="26"/>
      <c r="Z451" s="26"/>
    </row>
    <row r="452" customFormat="false" ht="15" hidden="false" customHeight="false" outlineLevel="0" collapsed="false">
      <c r="B452" s="24"/>
      <c r="C452" s="24"/>
      <c r="D452" s="24"/>
      <c r="U452" s="26"/>
      <c r="Z452" s="26"/>
    </row>
    <row r="453" customFormat="false" ht="15" hidden="false" customHeight="false" outlineLevel="0" collapsed="false">
      <c r="B453" s="24"/>
      <c r="C453" s="24"/>
      <c r="D453" s="24"/>
      <c r="U453" s="26"/>
      <c r="Z453" s="26"/>
    </row>
    <row r="454" customFormat="false" ht="15" hidden="false" customHeight="false" outlineLevel="0" collapsed="false">
      <c r="B454" s="24"/>
      <c r="C454" s="24"/>
      <c r="D454" s="24"/>
      <c r="U454" s="26"/>
      <c r="Z454" s="26"/>
    </row>
    <row r="455" customFormat="false" ht="15" hidden="false" customHeight="false" outlineLevel="0" collapsed="false">
      <c r="B455" s="24"/>
      <c r="C455" s="24"/>
      <c r="D455" s="24"/>
      <c r="U455" s="26"/>
      <c r="Z455" s="26"/>
    </row>
    <row r="456" customFormat="false" ht="15" hidden="false" customHeight="false" outlineLevel="0" collapsed="false">
      <c r="B456" s="24"/>
      <c r="C456" s="24"/>
      <c r="D456" s="24"/>
      <c r="U456" s="26"/>
      <c r="Z456" s="26"/>
    </row>
    <row r="457" customFormat="false" ht="15" hidden="false" customHeight="false" outlineLevel="0" collapsed="false">
      <c r="B457" s="24"/>
      <c r="C457" s="24"/>
      <c r="D457" s="24"/>
      <c r="U457" s="26"/>
      <c r="Z457" s="26"/>
    </row>
    <row r="458" customFormat="false" ht="15" hidden="false" customHeight="false" outlineLevel="0" collapsed="false">
      <c r="B458" s="24"/>
      <c r="C458" s="24"/>
      <c r="D458" s="24"/>
      <c r="U458" s="26"/>
      <c r="Z458" s="26"/>
    </row>
    <row r="459" customFormat="false" ht="15" hidden="false" customHeight="false" outlineLevel="0" collapsed="false">
      <c r="B459" s="24"/>
      <c r="C459" s="24"/>
      <c r="D459" s="24"/>
      <c r="U459" s="26"/>
      <c r="Z459" s="26"/>
    </row>
    <row r="460" customFormat="false" ht="15" hidden="false" customHeight="false" outlineLevel="0" collapsed="false">
      <c r="B460" s="24"/>
      <c r="C460" s="24"/>
      <c r="D460" s="24"/>
      <c r="U460" s="26"/>
      <c r="Z460" s="26"/>
    </row>
    <row r="461" customFormat="false" ht="15" hidden="false" customHeight="false" outlineLevel="0" collapsed="false">
      <c r="B461" s="24"/>
      <c r="C461" s="24"/>
      <c r="D461" s="24"/>
      <c r="U461" s="26"/>
      <c r="Z461" s="26"/>
    </row>
    <row r="462" customFormat="false" ht="15" hidden="false" customHeight="false" outlineLevel="0" collapsed="false">
      <c r="B462" s="24"/>
      <c r="C462" s="24"/>
      <c r="D462" s="24"/>
      <c r="U462" s="26"/>
      <c r="Z462" s="26"/>
    </row>
    <row r="463" customFormat="false" ht="15" hidden="false" customHeight="false" outlineLevel="0" collapsed="false">
      <c r="B463" s="24"/>
      <c r="C463" s="24"/>
      <c r="D463" s="24"/>
      <c r="U463" s="26"/>
      <c r="Z463" s="26"/>
    </row>
    <row r="464" customFormat="false" ht="15" hidden="false" customHeight="false" outlineLevel="0" collapsed="false">
      <c r="B464" s="24"/>
      <c r="C464" s="24"/>
      <c r="D464" s="24"/>
      <c r="U464" s="26"/>
      <c r="Z464" s="26"/>
    </row>
    <row r="465" customFormat="false" ht="15" hidden="false" customHeight="false" outlineLevel="0" collapsed="false">
      <c r="B465" s="24"/>
      <c r="C465" s="24"/>
      <c r="D465" s="24"/>
      <c r="U465" s="26"/>
      <c r="Z465" s="26"/>
    </row>
    <row r="466" customFormat="false" ht="15" hidden="false" customHeight="false" outlineLevel="0" collapsed="false">
      <c r="B466" s="24"/>
      <c r="C466" s="24"/>
      <c r="D466" s="24"/>
      <c r="U466" s="26"/>
      <c r="Z466" s="26"/>
    </row>
    <row r="467" customFormat="false" ht="15" hidden="false" customHeight="false" outlineLevel="0" collapsed="false">
      <c r="B467" s="24"/>
      <c r="C467" s="24"/>
      <c r="D467" s="24"/>
      <c r="U467" s="26"/>
      <c r="Z467" s="26"/>
    </row>
    <row r="468" customFormat="false" ht="15" hidden="false" customHeight="false" outlineLevel="0" collapsed="false">
      <c r="B468" s="24"/>
      <c r="C468" s="24"/>
      <c r="D468" s="24"/>
      <c r="U468" s="26"/>
      <c r="Z468" s="26"/>
    </row>
    <row r="469" customFormat="false" ht="15" hidden="false" customHeight="false" outlineLevel="0" collapsed="false">
      <c r="B469" s="24"/>
      <c r="C469" s="24"/>
      <c r="D469" s="24"/>
      <c r="U469" s="26"/>
      <c r="Z469" s="26"/>
    </row>
    <row r="470" customFormat="false" ht="15" hidden="false" customHeight="false" outlineLevel="0" collapsed="false">
      <c r="B470" s="24"/>
      <c r="C470" s="24"/>
      <c r="D470" s="24"/>
      <c r="U470" s="26"/>
      <c r="Z470" s="26"/>
    </row>
    <row r="471" customFormat="false" ht="15" hidden="false" customHeight="false" outlineLevel="0" collapsed="false">
      <c r="B471" s="24"/>
      <c r="C471" s="24"/>
      <c r="D471" s="24"/>
      <c r="U471" s="26"/>
      <c r="Z471" s="26"/>
    </row>
    <row r="472" customFormat="false" ht="15" hidden="false" customHeight="false" outlineLevel="0" collapsed="false">
      <c r="B472" s="24"/>
      <c r="C472" s="24"/>
      <c r="D472" s="24"/>
      <c r="U472" s="26"/>
      <c r="Z472" s="26"/>
    </row>
    <row r="473" customFormat="false" ht="15" hidden="false" customHeight="false" outlineLevel="0" collapsed="false">
      <c r="B473" s="24"/>
      <c r="C473" s="24"/>
      <c r="D473" s="24"/>
      <c r="U473" s="26"/>
      <c r="Z473" s="26"/>
    </row>
    <row r="474" customFormat="false" ht="15" hidden="false" customHeight="false" outlineLevel="0" collapsed="false">
      <c r="B474" s="24"/>
      <c r="C474" s="24"/>
      <c r="D474" s="24"/>
      <c r="U474" s="26"/>
      <c r="Z474" s="26"/>
    </row>
    <row r="475" customFormat="false" ht="15" hidden="false" customHeight="false" outlineLevel="0" collapsed="false">
      <c r="B475" s="24"/>
      <c r="C475" s="24"/>
      <c r="D475" s="24"/>
      <c r="U475" s="26"/>
      <c r="Z475" s="26"/>
    </row>
    <row r="476" customFormat="false" ht="15" hidden="false" customHeight="false" outlineLevel="0" collapsed="false">
      <c r="B476" s="24"/>
      <c r="C476" s="24"/>
      <c r="D476" s="24"/>
      <c r="U476" s="26"/>
      <c r="Z476" s="26"/>
    </row>
    <row r="477" customFormat="false" ht="15" hidden="false" customHeight="false" outlineLevel="0" collapsed="false">
      <c r="B477" s="24"/>
      <c r="C477" s="24"/>
      <c r="D477" s="24"/>
      <c r="U477" s="26"/>
      <c r="Z477" s="26"/>
    </row>
    <row r="478" customFormat="false" ht="15" hidden="false" customHeight="false" outlineLevel="0" collapsed="false">
      <c r="B478" s="24"/>
      <c r="C478" s="24"/>
      <c r="D478" s="24"/>
      <c r="U478" s="26"/>
      <c r="Z478" s="26"/>
    </row>
    <row r="479" customFormat="false" ht="15" hidden="false" customHeight="false" outlineLevel="0" collapsed="false">
      <c r="B479" s="24"/>
      <c r="C479" s="24"/>
      <c r="D479" s="24"/>
      <c r="U479" s="26"/>
      <c r="Z479" s="26"/>
    </row>
    <row r="480" customFormat="false" ht="15" hidden="false" customHeight="false" outlineLevel="0" collapsed="false">
      <c r="B480" s="24"/>
      <c r="C480" s="24"/>
      <c r="D480" s="24"/>
      <c r="U480" s="26"/>
      <c r="Z480" s="26"/>
    </row>
    <row r="481" customFormat="false" ht="15" hidden="false" customHeight="false" outlineLevel="0" collapsed="false">
      <c r="B481" s="24"/>
      <c r="C481" s="24"/>
      <c r="D481" s="24"/>
      <c r="U481" s="26"/>
      <c r="Z481" s="26"/>
    </row>
    <row r="482" customFormat="false" ht="15" hidden="false" customHeight="false" outlineLevel="0" collapsed="false">
      <c r="B482" s="24"/>
      <c r="C482" s="24"/>
      <c r="D482" s="24"/>
      <c r="U482" s="26"/>
      <c r="Z482" s="26"/>
    </row>
    <row r="483" customFormat="false" ht="15" hidden="false" customHeight="false" outlineLevel="0" collapsed="false">
      <c r="B483" s="24"/>
      <c r="C483" s="24"/>
      <c r="D483" s="24"/>
      <c r="U483" s="26"/>
      <c r="Z483" s="26"/>
    </row>
    <row r="484" customFormat="false" ht="15" hidden="false" customHeight="false" outlineLevel="0" collapsed="false">
      <c r="B484" s="24"/>
      <c r="C484" s="24"/>
      <c r="D484" s="24"/>
      <c r="U484" s="26"/>
      <c r="Z484" s="26"/>
    </row>
    <row r="485" customFormat="false" ht="15" hidden="false" customHeight="false" outlineLevel="0" collapsed="false">
      <c r="B485" s="24"/>
      <c r="C485" s="24"/>
      <c r="D485" s="24"/>
      <c r="U485" s="26"/>
      <c r="Z485" s="26"/>
    </row>
    <row r="486" customFormat="false" ht="15" hidden="false" customHeight="false" outlineLevel="0" collapsed="false">
      <c r="B486" s="24"/>
      <c r="C486" s="24"/>
      <c r="D486" s="24"/>
      <c r="U486" s="26"/>
      <c r="Z486" s="26"/>
    </row>
    <row r="487" customFormat="false" ht="15" hidden="false" customHeight="false" outlineLevel="0" collapsed="false">
      <c r="B487" s="24"/>
      <c r="C487" s="24"/>
      <c r="D487" s="24"/>
      <c r="U487" s="26"/>
      <c r="Z487" s="26"/>
    </row>
    <row r="488" customFormat="false" ht="15" hidden="false" customHeight="false" outlineLevel="0" collapsed="false">
      <c r="B488" s="24"/>
      <c r="C488" s="24"/>
      <c r="D488" s="24"/>
      <c r="U488" s="26"/>
      <c r="Z488" s="26"/>
    </row>
    <row r="489" customFormat="false" ht="15" hidden="false" customHeight="false" outlineLevel="0" collapsed="false">
      <c r="B489" s="24"/>
      <c r="C489" s="24"/>
      <c r="D489" s="24"/>
      <c r="U489" s="26"/>
      <c r="Z489" s="26"/>
    </row>
    <row r="490" customFormat="false" ht="15" hidden="false" customHeight="false" outlineLevel="0" collapsed="false">
      <c r="B490" s="24"/>
      <c r="C490" s="24"/>
      <c r="D490" s="24"/>
      <c r="U490" s="26"/>
      <c r="Z490" s="26"/>
    </row>
    <row r="491" customFormat="false" ht="15" hidden="false" customHeight="false" outlineLevel="0" collapsed="false">
      <c r="B491" s="24"/>
      <c r="C491" s="24"/>
      <c r="D491" s="24"/>
      <c r="U491" s="26"/>
      <c r="Z491" s="26"/>
    </row>
    <row r="492" customFormat="false" ht="15" hidden="false" customHeight="false" outlineLevel="0" collapsed="false">
      <c r="B492" s="24"/>
      <c r="C492" s="24"/>
      <c r="D492" s="24"/>
      <c r="U492" s="26"/>
      <c r="Z492" s="26"/>
    </row>
    <row r="493" customFormat="false" ht="15" hidden="false" customHeight="false" outlineLevel="0" collapsed="false">
      <c r="B493" s="24"/>
      <c r="C493" s="24"/>
      <c r="D493" s="24"/>
      <c r="U493" s="26"/>
      <c r="Z493" s="26"/>
    </row>
    <row r="494" customFormat="false" ht="15" hidden="false" customHeight="false" outlineLevel="0" collapsed="false">
      <c r="B494" s="24"/>
      <c r="C494" s="24"/>
      <c r="D494" s="24"/>
      <c r="U494" s="26"/>
      <c r="Z494" s="26"/>
    </row>
    <row r="495" customFormat="false" ht="15" hidden="false" customHeight="false" outlineLevel="0" collapsed="false">
      <c r="B495" s="24"/>
      <c r="C495" s="24"/>
      <c r="D495" s="24"/>
      <c r="U495" s="26"/>
      <c r="Z495" s="26"/>
    </row>
    <row r="496" customFormat="false" ht="15" hidden="false" customHeight="false" outlineLevel="0" collapsed="false">
      <c r="B496" s="24"/>
      <c r="C496" s="24"/>
      <c r="D496" s="24"/>
      <c r="U496" s="26"/>
      <c r="Z496" s="26"/>
    </row>
    <row r="497" customFormat="false" ht="15" hidden="false" customHeight="false" outlineLevel="0" collapsed="false">
      <c r="B497" s="24"/>
      <c r="C497" s="24"/>
      <c r="D497" s="24"/>
      <c r="U497" s="26"/>
      <c r="Z497" s="26"/>
    </row>
    <row r="498" customFormat="false" ht="15" hidden="false" customHeight="false" outlineLevel="0" collapsed="false">
      <c r="B498" s="24"/>
      <c r="C498" s="24"/>
      <c r="D498" s="24"/>
      <c r="U498" s="26"/>
      <c r="Z498" s="26"/>
    </row>
    <row r="499" customFormat="false" ht="15" hidden="false" customHeight="false" outlineLevel="0" collapsed="false">
      <c r="B499" s="24"/>
      <c r="C499" s="24"/>
      <c r="D499" s="24"/>
      <c r="U499" s="26"/>
      <c r="Z499" s="26"/>
    </row>
    <row r="500" customFormat="false" ht="15" hidden="false" customHeight="false" outlineLevel="0" collapsed="false">
      <c r="B500" s="24"/>
      <c r="C500" s="24"/>
      <c r="D500" s="24"/>
      <c r="U500" s="26"/>
      <c r="Z500" s="26"/>
    </row>
    <row r="501" customFormat="false" ht="15" hidden="false" customHeight="false" outlineLevel="0" collapsed="false">
      <c r="B501" s="24"/>
      <c r="C501" s="24"/>
      <c r="D501" s="24"/>
      <c r="U501" s="26"/>
      <c r="Z501" s="26"/>
    </row>
    <row r="502" customFormat="false" ht="15" hidden="false" customHeight="false" outlineLevel="0" collapsed="false">
      <c r="B502" s="24"/>
      <c r="C502" s="24"/>
      <c r="D502" s="24"/>
      <c r="U502" s="26"/>
      <c r="Z502" s="26"/>
    </row>
    <row r="503" customFormat="false" ht="15" hidden="false" customHeight="false" outlineLevel="0" collapsed="false">
      <c r="B503" s="24"/>
      <c r="C503" s="24"/>
      <c r="D503" s="24"/>
      <c r="U503" s="26"/>
      <c r="Z503" s="26"/>
    </row>
    <row r="504" customFormat="false" ht="15" hidden="false" customHeight="false" outlineLevel="0" collapsed="false">
      <c r="B504" s="24"/>
      <c r="C504" s="24"/>
      <c r="D504" s="24"/>
      <c r="U504" s="26"/>
      <c r="Z504" s="26"/>
    </row>
    <row r="505" customFormat="false" ht="15" hidden="false" customHeight="false" outlineLevel="0" collapsed="false">
      <c r="B505" s="24"/>
      <c r="C505" s="24"/>
      <c r="D505" s="24"/>
      <c r="U505" s="26"/>
      <c r="Z505" s="26"/>
    </row>
    <row r="506" customFormat="false" ht="15" hidden="false" customHeight="false" outlineLevel="0" collapsed="false">
      <c r="B506" s="24"/>
      <c r="C506" s="24"/>
      <c r="D506" s="24"/>
      <c r="U506" s="26"/>
      <c r="Z506" s="26"/>
    </row>
    <row r="507" customFormat="false" ht="15" hidden="false" customHeight="false" outlineLevel="0" collapsed="false">
      <c r="B507" s="24"/>
      <c r="C507" s="24"/>
      <c r="D507" s="24"/>
      <c r="U507" s="26"/>
      <c r="Z507" s="26"/>
    </row>
    <row r="508" customFormat="false" ht="15" hidden="false" customHeight="false" outlineLevel="0" collapsed="false">
      <c r="B508" s="24"/>
      <c r="C508" s="24"/>
      <c r="D508" s="24"/>
      <c r="U508" s="26"/>
      <c r="Z508" s="26"/>
    </row>
    <row r="509" customFormat="false" ht="15" hidden="false" customHeight="false" outlineLevel="0" collapsed="false">
      <c r="B509" s="24"/>
      <c r="C509" s="24"/>
      <c r="D509" s="24"/>
      <c r="U509" s="26"/>
      <c r="Z509" s="26"/>
    </row>
    <row r="510" customFormat="false" ht="15" hidden="false" customHeight="false" outlineLevel="0" collapsed="false">
      <c r="B510" s="24"/>
      <c r="C510" s="24"/>
      <c r="D510" s="24"/>
      <c r="U510" s="26"/>
      <c r="Z510" s="26"/>
    </row>
    <row r="511" customFormat="false" ht="15" hidden="false" customHeight="false" outlineLevel="0" collapsed="false">
      <c r="B511" s="24"/>
      <c r="C511" s="24"/>
      <c r="D511" s="24"/>
      <c r="U511" s="26"/>
      <c r="Z511" s="26"/>
    </row>
    <row r="512" customFormat="false" ht="15" hidden="false" customHeight="false" outlineLevel="0" collapsed="false">
      <c r="B512" s="24"/>
      <c r="C512" s="24"/>
      <c r="D512" s="24"/>
      <c r="U512" s="26"/>
      <c r="Z512" s="26"/>
    </row>
    <row r="513" customFormat="false" ht="15" hidden="false" customHeight="false" outlineLevel="0" collapsed="false">
      <c r="B513" s="24"/>
      <c r="C513" s="24"/>
      <c r="D513" s="24"/>
      <c r="U513" s="26"/>
      <c r="Z513" s="26"/>
    </row>
    <row r="514" customFormat="false" ht="15" hidden="false" customHeight="false" outlineLevel="0" collapsed="false">
      <c r="B514" s="24"/>
      <c r="C514" s="24"/>
      <c r="D514" s="24"/>
      <c r="U514" s="26"/>
      <c r="Z514" s="26"/>
    </row>
    <row r="515" customFormat="false" ht="15" hidden="false" customHeight="false" outlineLevel="0" collapsed="false">
      <c r="B515" s="24"/>
      <c r="C515" s="24"/>
      <c r="D515" s="24"/>
      <c r="U515" s="26"/>
      <c r="Z515" s="26"/>
    </row>
    <row r="516" customFormat="false" ht="15" hidden="false" customHeight="false" outlineLevel="0" collapsed="false">
      <c r="B516" s="24"/>
      <c r="C516" s="24"/>
      <c r="D516" s="24"/>
      <c r="U516" s="26"/>
      <c r="Z516" s="26"/>
    </row>
    <row r="517" customFormat="false" ht="15" hidden="false" customHeight="false" outlineLevel="0" collapsed="false">
      <c r="B517" s="24"/>
      <c r="C517" s="24"/>
      <c r="D517" s="24"/>
      <c r="U517" s="26"/>
      <c r="Z517" s="26"/>
    </row>
    <row r="518" customFormat="false" ht="15" hidden="false" customHeight="false" outlineLevel="0" collapsed="false">
      <c r="B518" s="24"/>
      <c r="C518" s="24"/>
      <c r="D518" s="24"/>
      <c r="U518" s="26"/>
      <c r="Z518" s="26"/>
    </row>
    <row r="519" customFormat="false" ht="15" hidden="false" customHeight="false" outlineLevel="0" collapsed="false">
      <c r="B519" s="24"/>
      <c r="C519" s="24"/>
      <c r="D519" s="24"/>
      <c r="U519" s="26"/>
      <c r="Z519" s="26"/>
    </row>
    <row r="520" customFormat="false" ht="15" hidden="false" customHeight="false" outlineLevel="0" collapsed="false">
      <c r="B520" s="24"/>
      <c r="C520" s="24"/>
      <c r="D520" s="24"/>
      <c r="U520" s="26"/>
      <c r="Z520" s="26"/>
    </row>
    <row r="521" customFormat="false" ht="15" hidden="false" customHeight="false" outlineLevel="0" collapsed="false">
      <c r="B521" s="24"/>
      <c r="C521" s="24"/>
      <c r="D521" s="24"/>
      <c r="U521" s="26"/>
      <c r="Z521" s="26"/>
    </row>
    <row r="522" customFormat="false" ht="15" hidden="false" customHeight="false" outlineLevel="0" collapsed="false">
      <c r="B522" s="24"/>
      <c r="C522" s="24"/>
      <c r="D522" s="24"/>
      <c r="U522" s="26"/>
      <c r="Z522" s="26"/>
    </row>
    <row r="523" customFormat="false" ht="15" hidden="false" customHeight="false" outlineLevel="0" collapsed="false">
      <c r="B523" s="24"/>
      <c r="C523" s="24"/>
      <c r="D523" s="24"/>
      <c r="U523" s="26"/>
      <c r="Z523" s="26"/>
    </row>
    <row r="524" customFormat="false" ht="15" hidden="false" customHeight="false" outlineLevel="0" collapsed="false">
      <c r="B524" s="24"/>
      <c r="C524" s="24"/>
      <c r="D524" s="24"/>
      <c r="U524" s="26"/>
      <c r="Z524" s="26"/>
    </row>
    <row r="525" customFormat="false" ht="15" hidden="false" customHeight="false" outlineLevel="0" collapsed="false">
      <c r="B525" s="24"/>
      <c r="C525" s="24"/>
      <c r="D525" s="24"/>
      <c r="U525" s="26"/>
      <c r="Z525" s="26"/>
    </row>
    <row r="526" customFormat="false" ht="15" hidden="false" customHeight="false" outlineLevel="0" collapsed="false">
      <c r="B526" s="24"/>
      <c r="C526" s="24"/>
      <c r="D526" s="24"/>
      <c r="U526" s="26"/>
      <c r="Z526" s="26"/>
    </row>
    <row r="527" customFormat="false" ht="15" hidden="false" customHeight="false" outlineLevel="0" collapsed="false">
      <c r="B527" s="24"/>
      <c r="C527" s="24"/>
      <c r="D527" s="24"/>
      <c r="U527" s="26"/>
      <c r="Z527" s="26"/>
    </row>
    <row r="528" customFormat="false" ht="15" hidden="false" customHeight="false" outlineLevel="0" collapsed="false">
      <c r="B528" s="24"/>
      <c r="C528" s="24"/>
      <c r="D528" s="24"/>
      <c r="U528" s="26"/>
      <c r="Z528" s="26"/>
    </row>
    <row r="529" customFormat="false" ht="15" hidden="false" customHeight="false" outlineLevel="0" collapsed="false">
      <c r="B529" s="24"/>
      <c r="C529" s="24"/>
      <c r="D529" s="24"/>
      <c r="U529" s="26"/>
      <c r="Z529" s="26"/>
    </row>
    <row r="530" customFormat="false" ht="15" hidden="false" customHeight="false" outlineLevel="0" collapsed="false">
      <c r="B530" s="24"/>
      <c r="C530" s="24"/>
      <c r="D530" s="24"/>
      <c r="U530" s="26"/>
      <c r="Z530" s="26"/>
    </row>
    <row r="531" customFormat="false" ht="15" hidden="false" customHeight="false" outlineLevel="0" collapsed="false">
      <c r="B531" s="24"/>
      <c r="C531" s="24"/>
      <c r="D531" s="24"/>
      <c r="U531" s="26"/>
      <c r="Z531" s="26"/>
    </row>
    <row r="532" customFormat="false" ht="15" hidden="false" customHeight="false" outlineLevel="0" collapsed="false">
      <c r="B532" s="24"/>
      <c r="C532" s="24"/>
      <c r="D532" s="24"/>
      <c r="U532" s="26"/>
      <c r="Z532" s="26"/>
    </row>
    <row r="533" customFormat="false" ht="15" hidden="false" customHeight="false" outlineLevel="0" collapsed="false">
      <c r="B533" s="24"/>
      <c r="C533" s="24"/>
      <c r="D533" s="24"/>
      <c r="U533" s="26"/>
      <c r="Z533" s="26"/>
    </row>
    <row r="534" customFormat="false" ht="15" hidden="false" customHeight="false" outlineLevel="0" collapsed="false">
      <c r="B534" s="24"/>
      <c r="C534" s="24"/>
      <c r="D534" s="24"/>
      <c r="U534" s="26"/>
      <c r="Z534" s="26"/>
    </row>
    <row r="535" customFormat="false" ht="15" hidden="false" customHeight="false" outlineLevel="0" collapsed="false">
      <c r="B535" s="24"/>
      <c r="C535" s="24"/>
      <c r="D535" s="24"/>
      <c r="U535" s="26"/>
      <c r="Z535" s="26"/>
    </row>
    <row r="536" customFormat="false" ht="15" hidden="false" customHeight="false" outlineLevel="0" collapsed="false">
      <c r="B536" s="24"/>
      <c r="C536" s="24"/>
      <c r="D536" s="24"/>
      <c r="U536" s="26"/>
      <c r="Z536" s="26"/>
    </row>
    <row r="537" customFormat="false" ht="15" hidden="false" customHeight="false" outlineLevel="0" collapsed="false">
      <c r="B537" s="24"/>
      <c r="C537" s="24"/>
      <c r="D537" s="24"/>
      <c r="U537" s="26"/>
      <c r="Z537" s="26"/>
    </row>
    <row r="538" customFormat="false" ht="15" hidden="false" customHeight="false" outlineLevel="0" collapsed="false">
      <c r="B538" s="24"/>
      <c r="C538" s="24"/>
      <c r="D538" s="24"/>
      <c r="U538" s="26"/>
      <c r="Z538" s="26"/>
    </row>
    <row r="539" customFormat="false" ht="15" hidden="false" customHeight="false" outlineLevel="0" collapsed="false">
      <c r="B539" s="24"/>
      <c r="C539" s="24"/>
      <c r="D539" s="24"/>
      <c r="U539" s="26"/>
      <c r="Z539" s="26"/>
    </row>
    <row r="540" customFormat="false" ht="15" hidden="false" customHeight="false" outlineLevel="0" collapsed="false">
      <c r="B540" s="24"/>
      <c r="C540" s="24"/>
      <c r="D540" s="24"/>
      <c r="U540" s="26"/>
      <c r="Z540" s="26"/>
    </row>
    <row r="541" customFormat="false" ht="15" hidden="false" customHeight="false" outlineLevel="0" collapsed="false">
      <c r="B541" s="24"/>
      <c r="C541" s="24"/>
      <c r="D541" s="24"/>
      <c r="U541" s="26"/>
      <c r="Z541" s="26"/>
    </row>
    <row r="542" customFormat="false" ht="15" hidden="false" customHeight="false" outlineLevel="0" collapsed="false">
      <c r="B542" s="24"/>
      <c r="C542" s="24"/>
      <c r="D542" s="24"/>
      <c r="U542" s="26"/>
      <c r="Z542" s="26"/>
    </row>
    <row r="543" customFormat="false" ht="15" hidden="false" customHeight="false" outlineLevel="0" collapsed="false">
      <c r="B543" s="24"/>
      <c r="C543" s="24"/>
      <c r="D543" s="24"/>
      <c r="U543" s="26"/>
      <c r="Z543" s="26"/>
    </row>
    <row r="544" customFormat="false" ht="15" hidden="false" customHeight="false" outlineLevel="0" collapsed="false">
      <c r="B544" s="24"/>
      <c r="C544" s="24"/>
      <c r="D544" s="24"/>
      <c r="U544" s="26"/>
      <c r="Z544" s="26"/>
    </row>
    <row r="545" customFormat="false" ht="15" hidden="false" customHeight="false" outlineLevel="0" collapsed="false">
      <c r="B545" s="24"/>
      <c r="C545" s="24"/>
      <c r="D545" s="24"/>
      <c r="U545" s="26"/>
      <c r="Z545" s="26"/>
    </row>
    <row r="546" customFormat="false" ht="15" hidden="false" customHeight="false" outlineLevel="0" collapsed="false">
      <c r="B546" s="24"/>
      <c r="C546" s="24"/>
      <c r="D546" s="24"/>
      <c r="U546" s="26"/>
      <c r="Z546" s="26"/>
    </row>
    <row r="547" customFormat="false" ht="15" hidden="false" customHeight="false" outlineLevel="0" collapsed="false">
      <c r="B547" s="24"/>
      <c r="C547" s="24"/>
      <c r="D547" s="24"/>
      <c r="U547" s="26"/>
      <c r="Z547" s="26"/>
    </row>
    <row r="548" customFormat="false" ht="15" hidden="false" customHeight="false" outlineLevel="0" collapsed="false">
      <c r="B548" s="24"/>
      <c r="C548" s="24"/>
      <c r="D548" s="24"/>
      <c r="U548" s="26"/>
      <c r="Z548" s="26"/>
    </row>
    <row r="549" customFormat="false" ht="15" hidden="false" customHeight="false" outlineLevel="0" collapsed="false">
      <c r="B549" s="24"/>
      <c r="C549" s="24"/>
      <c r="D549" s="24"/>
      <c r="U549" s="26"/>
      <c r="Z549" s="26"/>
    </row>
    <row r="550" customFormat="false" ht="15" hidden="false" customHeight="false" outlineLevel="0" collapsed="false">
      <c r="B550" s="24"/>
      <c r="C550" s="24"/>
      <c r="D550" s="24"/>
      <c r="U550" s="26"/>
      <c r="Z550" s="26"/>
    </row>
    <row r="551" customFormat="false" ht="15" hidden="false" customHeight="false" outlineLevel="0" collapsed="false">
      <c r="B551" s="24"/>
      <c r="C551" s="24"/>
      <c r="D551" s="24"/>
      <c r="U551" s="26"/>
      <c r="Z551" s="26"/>
    </row>
    <row r="552" customFormat="false" ht="15" hidden="false" customHeight="false" outlineLevel="0" collapsed="false">
      <c r="B552" s="24"/>
      <c r="C552" s="24"/>
      <c r="D552" s="24"/>
      <c r="U552" s="26"/>
      <c r="Z552" s="26"/>
    </row>
    <row r="553" customFormat="false" ht="15" hidden="false" customHeight="false" outlineLevel="0" collapsed="false">
      <c r="B553" s="24"/>
      <c r="C553" s="24"/>
      <c r="D553" s="24"/>
      <c r="U553" s="26"/>
      <c r="Z553" s="26"/>
    </row>
    <row r="554" customFormat="false" ht="15" hidden="false" customHeight="false" outlineLevel="0" collapsed="false">
      <c r="B554" s="24"/>
      <c r="C554" s="24"/>
      <c r="D554" s="24"/>
      <c r="U554" s="26"/>
      <c r="Z554" s="26"/>
    </row>
    <row r="555" customFormat="false" ht="15" hidden="false" customHeight="false" outlineLevel="0" collapsed="false">
      <c r="B555" s="24"/>
      <c r="C555" s="24"/>
      <c r="D555" s="24"/>
      <c r="U555" s="26"/>
      <c r="Z555" s="26"/>
    </row>
    <row r="556" customFormat="false" ht="15" hidden="false" customHeight="false" outlineLevel="0" collapsed="false">
      <c r="B556" s="24"/>
      <c r="C556" s="24"/>
      <c r="D556" s="24"/>
      <c r="U556" s="26"/>
      <c r="Z556" s="26"/>
    </row>
    <row r="557" customFormat="false" ht="15" hidden="false" customHeight="false" outlineLevel="0" collapsed="false">
      <c r="B557" s="24"/>
      <c r="C557" s="24"/>
      <c r="D557" s="24"/>
      <c r="U557" s="26"/>
      <c r="Z557" s="26"/>
    </row>
    <row r="558" customFormat="false" ht="15" hidden="false" customHeight="false" outlineLevel="0" collapsed="false">
      <c r="B558" s="24"/>
      <c r="C558" s="24"/>
      <c r="D558" s="24"/>
      <c r="U558" s="26"/>
      <c r="Z558" s="26"/>
    </row>
    <row r="559" customFormat="false" ht="15" hidden="false" customHeight="false" outlineLevel="0" collapsed="false">
      <c r="B559" s="24"/>
      <c r="C559" s="24"/>
      <c r="D559" s="24"/>
      <c r="U559" s="26"/>
      <c r="Z559" s="26"/>
    </row>
    <row r="560" customFormat="false" ht="15" hidden="false" customHeight="false" outlineLevel="0" collapsed="false">
      <c r="B560" s="24"/>
      <c r="C560" s="24"/>
      <c r="D560" s="24"/>
      <c r="U560" s="26"/>
      <c r="Z560" s="26"/>
    </row>
    <row r="561" customFormat="false" ht="15" hidden="false" customHeight="false" outlineLevel="0" collapsed="false">
      <c r="B561" s="24"/>
      <c r="C561" s="24"/>
      <c r="D561" s="24"/>
      <c r="U561" s="26"/>
      <c r="Z561" s="26"/>
    </row>
    <row r="562" customFormat="false" ht="15" hidden="false" customHeight="false" outlineLevel="0" collapsed="false">
      <c r="B562" s="24"/>
      <c r="C562" s="24"/>
      <c r="D562" s="24"/>
      <c r="U562" s="26"/>
      <c r="Z562" s="26"/>
    </row>
    <row r="563" customFormat="false" ht="15" hidden="false" customHeight="false" outlineLevel="0" collapsed="false">
      <c r="B563" s="24"/>
      <c r="C563" s="24"/>
      <c r="D563" s="24"/>
      <c r="U563" s="26"/>
      <c r="Z563" s="26"/>
    </row>
    <row r="564" customFormat="false" ht="15" hidden="false" customHeight="false" outlineLevel="0" collapsed="false">
      <c r="B564" s="24"/>
      <c r="C564" s="24"/>
      <c r="D564" s="24"/>
      <c r="U564" s="26"/>
      <c r="Z564" s="26"/>
    </row>
    <row r="565" customFormat="false" ht="15" hidden="false" customHeight="false" outlineLevel="0" collapsed="false">
      <c r="B565" s="24"/>
      <c r="C565" s="24"/>
      <c r="D565" s="24"/>
      <c r="U565" s="26"/>
      <c r="Z565" s="26"/>
    </row>
    <row r="566" customFormat="false" ht="15" hidden="false" customHeight="false" outlineLevel="0" collapsed="false">
      <c r="B566" s="24"/>
      <c r="C566" s="24"/>
      <c r="D566" s="24"/>
      <c r="U566" s="26"/>
      <c r="Z566" s="26"/>
    </row>
    <row r="567" customFormat="false" ht="15" hidden="false" customHeight="false" outlineLevel="0" collapsed="false">
      <c r="B567" s="24"/>
      <c r="C567" s="24"/>
      <c r="D567" s="24"/>
      <c r="U567" s="26"/>
      <c r="Z567" s="26"/>
    </row>
    <row r="568" customFormat="false" ht="15" hidden="false" customHeight="false" outlineLevel="0" collapsed="false">
      <c r="B568" s="24"/>
      <c r="C568" s="24"/>
      <c r="D568" s="24"/>
      <c r="U568" s="26"/>
      <c r="Z568" s="26"/>
    </row>
    <row r="569" customFormat="false" ht="15" hidden="false" customHeight="false" outlineLevel="0" collapsed="false">
      <c r="B569" s="24"/>
      <c r="C569" s="24"/>
      <c r="D569" s="24"/>
      <c r="U569" s="26"/>
      <c r="Z569" s="26"/>
    </row>
    <row r="570" customFormat="false" ht="15" hidden="false" customHeight="false" outlineLevel="0" collapsed="false">
      <c r="B570" s="24"/>
      <c r="C570" s="24"/>
      <c r="D570" s="24"/>
      <c r="U570" s="26"/>
      <c r="Z570" s="26"/>
    </row>
    <row r="571" customFormat="false" ht="15" hidden="false" customHeight="false" outlineLevel="0" collapsed="false">
      <c r="B571" s="24"/>
      <c r="C571" s="24"/>
      <c r="D571" s="24"/>
      <c r="U571" s="26"/>
      <c r="Z571" s="26"/>
    </row>
    <row r="572" customFormat="false" ht="15" hidden="false" customHeight="false" outlineLevel="0" collapsed="false">
      <c r="B572" s="24"/>
      <c r="C572" s="24"/>
      <c r="D572" s="24"/>
      <c r="U572" s="26"/>
      <c r="Z572" s="26"/>
    </row>
    <row r="573" customFormat="false" ht="15" hidden="false" customHeight="false" outlineLevel="0" collapsed="false">
      <c r="B573" s="24"/>
      <c r="C573" s="24"/>
      <c r="D573" s="24"/>
      <c r="U573" s="26"/>
      <c r="Z573" s="26"/>
    </row>
    <row r="574" customFormat="false" ht="15" hidden="false" customHeight="false" outlineLevel="0" collapsed="false">
      <c r="B574" s="24"/>
      <c r="C574" s="24"/>
      <c r="D574" s="24"/>
      <c r="U574" s="26"/>
      <c r="Z574" s="26"/>
    </row>
    <row r="575" customFormat="false" ht="15" hidden="false" customHeight="false" outlineLevel="0" collapsed="false">
      <c r="B575" s="24"/>
      <c r="C575" s="24"/>
      <c r="D575" s="24"/>
      <c r="U575" s="26"/>
      <c r="Z575" s="26"/>
    </row>
    <row r="576" customFormat="false" ht="15" hidden="false" customHeight="false" outlineLevel="0" collapsed="false">
      <c r="B576" s="24"/>
      <c r="C576" s="24"/>
      <c r="D576" s="24"/>
      <c r="U576" s="26"/>
      <c r="Z576" s="26"/>
    </row>
    <row r="577" customFormat="false" ht="15" hidden="false" customHeight="false" outlineLevel="0" collapsed="false">
      <c r="B577" s="24"/>
      <c r="C577" s="24"/>
      <c r="D577" s="24"/>
      <c r="U577" s="26"/>
      <c r="Z577" s="26"/>
    </row>
    <row r="578" customFormat="false" ht="15" hidden="false" customHeight="false" outlineLevel="0" collapsed="false">
      <c r="B578" s="24"/>
      <c r="C578" s="24"/>
      <c r="D578" s="24"/>
      <c r="U578" s="26"/>
      <c r="Z578" s="26"/>
    </row>
    <row r="579" customFormat="false" ht="15" hidden="false" customHeight="false" outlineLevel="0" collapsed="false">
      <c r="B579" s="24"/>
      <c r="C579" s="24"/>
      <c r="D579" s="24"/>
      <c r="U579" s="26"/>
      <c r="Z579" s="26"/>
    </row>
    <row r="580" customFormat="false" ht="15" hidden="false" customHeight="false" outlineLevel="0" collapsed="false">
      <c r="B580" s="24"/>
      <c r="C580" s="24"/>
      <c r="D580" s="24"/>
      <c r="U580" s="26"/>
      <c r="Z580" s="26"/>
    </row>
    <row r="581" customFormat="false" ht="15" hidden="false" customHeight="false" outlineLevel="0" collapsed="false">
      <c r="B581" s="24"/>
      <c r="C581" s="24"/>
      <c r="D581" s="24"/>
      <c r="U581" s="26"/>
      <c r="Z581" s="26"/>
    </row>
    <row r="582" customFormat="false" ht="15" hidden="false" customHeight="false" outlineLevel="0" collapsed="false">
      <c r="B582" s="24"/>
      <c r="C582" s="24"/>
      <c r="D582" s="24"/>
      <c r="U582" s="26"/>
      <c r="Z582" s="26"/>
    </row>
    <row r="583" customFormat="false" ht="15" hidden="false" customHeight="false" outlineLevel="0" collapsed="false">
      <c r="B583" s="24"/>
      <c r="C583" s="24"/>
      <c r="D583" s="24"/>
      <c r="U583" s="26"/>
      <c r="Z583" s="26"/>
    </row>
    <row r="584" customFormat="false" ht="15" hidden="false" customHeight="false" outlineLevel="0" collapsed="false">
      <c r="B584" s="24"/>
      <c r="C584" s="24"/>
      <c r="D584" s="24"/>
      <c r="U584" s="26"/>
      <c r="Z584" s="26"/>
    </row>
    <row r="585" customFormat="false" ht="15" hidden="false" customHeight="false" outlineLevel="0" collapsed="false">
      <c r="B585" s="24"/>
      <c r="C585" s="24"/>
      <c r="D585" s="24"/>
      <c r="U585" s="26"/>
      <c r="Z585" s="26"/>
    </row>
    <row r="586" customFormat="false" ht="15" hidden="false" customHeight="false" outlineLevel="0" collapsed="false">
      <c r="B586" s="24"/>
      <c r="C586" s="24"/>
      <c r="D586" s="24"/>
      <c r="U586" s="26"/>
      <c r="Z586" s="26"/>
    </row>
    <row r="587" customFormat="false" ht="15" hidden="false" customHeight="false" outlineLevel="0" collapsed="false">
      <c r="B587" s="24"/>
      <c r="C587" s="24"/>
      <c r="D587" s="24"/>
      <c r="U587" s="26"/>
      <c r="Z587" s="26"/>
    </row>
    <row r="588" customFormat="false" ht="15" hidden="false" customHeight="false" outlineLevel="0" collapsed="false">
      <c r="B588" s="24"/>
      <c r="C588" s="24"/>
      <c r="D588" s="24"/>
      <c r="U588" s="26"/>
      <c r="Z588" s="26"/>
    </row>
    <row r="589" customFormat="false" ht="15" hidden="false" customHeight="false" outlineLevel="0" collapsed="false">
      <c r="B589" s="24"/>
      <c r="C589" s="24"/>
      <c r="D589" s="24"/>
      <c r="U589" s="26"/>
      <c r="Z589" s="26"/>
    </row>
    <row r="590" customFormat="false" ht="15" hidden="false" customHeight="false" outlineLevel="0" collapsed="false">
      <c r="B590" s="24"/>
      <c r="C590" s="24"/>
      <c r="D590" s="24"/>
      <c r="U590" s="26"/>
      <c r="Z590" s="26"/>
    </row>
    <row r="591" customFormat="false" ht="15" hidden="false" customHeight="false" outlineLevel="0" collapsed="false">
      <c r="B591" s="24"/>
      <c r="C591" s="24"/>
      <c r="D591" s="24"/>
      <c r="U591" s="26"/>
      <c r="Z591" s="26"/>
    </row>
    <row r="592" customFormat="false" ht="15" hidden="false" customHeight="false" outlineLevel="0" collapsed="false">
      <c r="B592" s="24"/>
      <c r="C592" s="24"/>
      <c r="D592" s="24"/>
      <c r="U592" s="26"/>
      <c r="Z592" s="26"/>
    </row>
    <row r="593" customFormat="false" ht="15" hidden="false" customHeight="false" outlineLevel="0" collapsed="false">
      <c r="B593" s="24"/>
      <c r="C593" s="24"/>
      <c r="D593" s="24"/>
      <c r="U593" s="26"/>
      <c r="Z593" s="26"/>
    </row>
    <row r="594" customFormat="false" ht="15" hidden="false" customHeight="false" outlineLevel="0" collapsed="false">
      <c r="B594" s="24"/>
      <c r="C594" s="24"/>
      <c r="D594" s="24"/>
      <c r="U594" s="26"/>
      <c r="Z594" s="26"/>
    </row>
    <row r="595" customFormat="false" ht="15" hidden="false" customHeight="false" outlineLevel="0" collapsed="false">
      <c r="B595" s="24"/>
      <c r="C595" s="24"/>
      <c r="D595" s="24"/>
      <c r="U595" s="26"/>
      <c r="Z595" s="26"/>
    </row>
    <row r="596" customFormat="false" ht="15" hidden="false" customHeight="false" outlineLevel="0" collapsed="false">
      <c r="B596" s="24"/>
      <c r="C596" s="24"/>
      <c r="D596" s="24"/>
      <c r="U596" s="26"/>
      <c r="Z596" s="26"/>
    </row>
    <row r="597" customFormat="false" ht="15" hidden="false" customHeight="false" outlineLevel="0" collapsed="false">
      <c r="B597" s="24"/>
      <c r="C597" s="24"/>
      <c r="D597" s="24"/>
      <c r="U597" s="26"/>
      <c r="Z597" s="26"/>
    </row>
    <row r="598" customFormat="false" ht="15" hidden="false" customHeight="false" outlineLevel="0" collapsed="false">
      <c r="B598" s="24"/>
      <c r="C598" s="24"/>
      <c r="D598" s="24"/>
      <c r="U598" s="26"/>
      <c r="Z598" s="26"/>
    </row>
    <row r="599" customFormat="false" ht="15" hidden="false" customHeight="false" outlineLevel="0" collapsed="false">
      <c r="B599" s="24"/>
      <c r="C599" s="24"/>
      <c r="D599" s="24"/>
      <c r="U599" s="26"/>
      <c r="Z599" s="26"/>
    </row>
    <row r="600" customFormat="false" ht="15" hidden="false" customHeight="false" outlineLevel="0" collapsed="false">
      <c r="B600" s="24"/>
      <c r="C600" s="24"/>
      <c r="D600" s="24"/>
      <c r="U600" s="26"/>
      <c r="Z600" s="26"/>
    </row>
    <row r="601" customFormat="false" ht="15" hidden="false" customHeight="false" outlineLevel="0" collapsed="false">
      <c r="B601" s="24"/>
      <c r="C601" s="24"/>
      <c r="D601" s="24"/>
      <c r="U601" s="26"/>
      <c r="Z601" s="26"/>
    </row>
    <row r="602" customFormat="false" ht="15" hidden="false" customHeight="false" outlineLevel="0" collapsed="false">
      <c r="B602" s="24"/>
      <c r="C602" s="24"/>
      <c r="D602" s="24"/>
      <c r="U602" s="26"/>
      <c r="Z602" s="26"/>
    </row>
    <row r="603" customFormat="false" ht="15" hidden="false" customHeight="false" outlineLevel="0" collapsed="false">
      <c r="B603" s="24"/>
      <c r="C603" s="24"/>
      <c r="D603" s="24"/>
      <c r="U603" s="26"/>
      <c r="Z603" s="26"/>
    </row>
    <row r="604" customFormat="false" ht="15" hidden="false" customHeight="false" outlineLevel="0" collapsed="false">
      <c r="B604" s="24"/>
      <c r="C604" s="24"/>
      <c r="D604" s="24"/>
      <c r="U604" s="26"/>
      <c r="Z604" s="26"/>
    </row>
    <row r="605" customFormat="false" ht="15" hidden="false" customHeight="false" outlineLevel="0" collapsed="false">
      <c r="B605" s="24"/>
      <c r="C605" s="24"/>
      <c r="D605" s="24"/>
      <c r="U605" s="26"/>
      <c r="Z605" s="26"/>
    </row>
    <row r="606" customFormat="false" ht="15" hidden="false" customHeight="false" outlineLevel="0" collapsed="false">
      <c r="B606" s="24"/>
      <c r="C606" s="24"/>
      <c r="D606" s="24"/>
      <c r="U606" s="26"/>
      <c r="Z606" s="26"/>
    </row>
    <row r="607" customFormat="false" ht="15" hidden="false" customHeight="false" outlineLevel="0" collapsed="false">
      <c r="B607" s="24"/>
      <c r="C607" s="24"/>
      <c r="D607" s="24"/>
      <c r="U607" s="26"/>
      <c r="Z607" s="26"/>
    </row>
    <row r="608" customFormat="false" ht="15" hidden="false" customHeight="false" outlineLevel="0" collapsed="false">
      <c r="B608" s="24"/>
      <c r="C608" s="24"/>
      <c r="D608" s="24"/>
      <c r="U608" s="26"/>
      <c r="Z608" s="26"/>
    </row>
    <row r="609" customFormat="false" ht="15" hidden="false" customHeight="false" outlineLevel="0" collapsed="false">
      <c r="B609" s="24"/>
      <c r="C609" s="24"/>
      <c r="D609" s="24"/>
      <c r="U609" s="26"/>
      <c r="Z609" s="26"/>
    </row>
    <row r="610" customFormat="false" ht="15" hidden="false" customHeight="false" outlineLevel="0" collapsed="false">
      <c r="B610" s="24"/>
      <c r="C610" s="24"/>
      <c r="D610" s="24"/>
      <c r="U610" s="26"/>
      <c r="Z610" s="26"/>
    </row>
    <row r="611" customFormat="false" ht="15" hidden="false" customHeight="false" outlineLevel="0" collapsed="false">
      <c r="B611" s="24"/>
      <c r="C611" s="24"/>
      <c r="D611" s="24"/>
      <c r="U611" s="26"/>
      <c r="Z611" s="26"/>
    </row>
    <row r="612" customFormat="false" ht="15" hidden="false" customHeight="false" outlineLevel="0" collapsed="false">
      <c r="B612" s="24"/>
      <c r="C612" s="24"/>
      <c r="D612" s="24"/>
      <c r="U612" s="26"/>
      <c r="Z612" s="26"/>
    </row>
    <row r="613" customFormat="false" ht="15" hidden="false" customHeight="false" outlineLevel="0" collapsed="false">
      <c r="B613" s="24"/>
      <c r="C613" s="24"/>
      <c r="D613" s="24"/>
      <c r="U613" s="26"/>
      <c r="Z613" s="26"/>
    </row>
    <row r="614" customFormat="false" ht="15" hidden="false" customHeight="false" outlineLevel="0" collapsed="false">
      <c r="B614" s="24"/>
      <c r="C614" s="24"/>
      <c r="D614" s="24"/>
      <c r="U614" s="26"/>
      <c r="Z614" s="26"/>
    </row>
    <row r="615" customFormat="false" ht="15" hidden="false" customHeight="false" outlineLevel="0" collapsed="false">
      <c r="B615" s="24"/>
      <c r="C615" s="24"/>
      <c r="D615" s="24"/>
      <c r="U615" s="26"/>
      <c r="Z615" s="26"/>
    </row>
    <row r="616" customFormat="false" ht="15" hidden="false" customHeight="false" outlineLevel="0" collapsed="false">
      <c r="B616" s="24"/>
      <c r="C616" s="24"/>
      <c r="D616" s="24"/>
      <c r="U616" s="26"/>
      <c r="Z616" s="26"/>
    </row>
    <row r="617" customFormat="false" ht="15" hidden="false" customHeight="false" outlineLevel="0" collapsed="false">
      <c r="B617" s="24"/>
      <c r="C617" s="24"/>
      <c r="D617" s="24"/>
      <c r="U617" s="26"/>
      <c r="Z617" s="26"/>
    </row>
    <row r="618" customFormat="false" ht="15" hidden="false" customHeight="false" outlineLevel="0" collapsed="false">
      <c r="B618" s="24"/>
      <c r="C618" s="24"/>
      <c r="D618" s="24"/>
      <c r="U618" s="26"/>
      <c r="Z618" s="26"/>
    </row>
    <row r="619" customFormat="false" ht="15" hidden="false" customHeight="false" outlineLevel="0" collapsed="false">
      <c r="B619" s="24"/>
      <c r="C619" s="24"/>
      <c r="D619" s="24"/>
      <c r="U619" s="26"/>
      <c r="Z619" s="26"/>
    </row>
    <row r="620" customFormat="false" ht="15" hidden="false" customHeight="false" outlineLevel="0" collapsed="false">
      <c r="B620" s="24"/>
      <c r="C620" s="24"/>
      <c r="D620" s="24"/>
      <c r="U620" s="26"/>
      <c r="Z620" s="26"/>
    </row>
    <row r="621" customFormat="false" ht="15" hidden="false" customHeight="false" outlineLevel="0" collapsed="false">
      <c r="B621" s="24"/>
      <c r="C621" s="24"/>
      <c r="D621" s="24"/>
      <c r="U621" s="26"/>
      <c r="Z621" s="26"/>
    </row>
    <row r="622" customFormat="false" ht="15" hidden="false" customHeight="false" outlineLevel="0" collapsed="false">
      <c r="B622" s="24"/>
      <c r="C622" s="24"/>
      <c r="D622" s="24"/>
      <c r="U622" s="26"/>
      <c r="Z622" s="26"/>
    </row>
    <row r="623" customFormat="false" ht="15" hidden="false" customHeight="false" outlineLevel="0" collapsed="false">
      <c r="B623" s="24"/>
      <c r="C623" s="24"/>
      <c r="D623" s="24"/>
      <c r="U623" s="26"/>
      <c r="Z623" s="26"/>
    </row>
    <row r="624" customFormat="false" ht="15" hidden="false" customHeight="false" outlineLevel="0" collapsed="false">
      <c r="B624" s="24"/>
      <c r="C624" s="24"/>
      <c r="D624" s="24"/>
      <c r="U624" s="26"/>
      <c r="Z624" s="26"/>
    </row>
    <row r="625" customFormat="false" ht="15" hidden="false" customHeight="false" outlineLevel="0" collapsed="false">
      <c r="B625" s="24"/>
      <c r="C625" s="24"/>
      <c r="D625" s="24"/>
      <c r="U625" s="26"/>
      <c r="Z625" s="26"/>
    </row>
    <row r="626" customFormat="false" ht="15" hidden="false" customHeight="false" outlineLevel="0" collapsed="false">
      <c r="B626" s="24"/>
      <c r="C626" s="24"/>
      <c r="D626" s="24"/>
      <c r="U626" s="26"/>
      <c r="Z626" s="26"/>
    </row>
    <row r="627" customFormat="false" ht="15" hidden="false" customHeight="false" outlineLevel="0" collapsed="false">
      <c r="B627" s="24"/>
      <c r="C627" s="24"/>
      <c r="D627" s="24"/>
      <c r="U627" s="26"/>
      <c r="Z627" s="26"/>
    </row>
    <row r="628" customFormat="false" ht="15" hidden="false" customHeight="false" outlineLevel="0" collapsed="false">
      <c r="B628" s="24"/>
      <c r="C628" s="24"/>
      <c r="D628" s="24"/>
      <c r="U628" s="26"/>
      <c r="Z628" s="26"/>
    </row>
    <row r="629" customFormat="false" ht="15" hidden="false" customHeight="false" outlineLevel="0" collapsed="false">
      <c r="B629" s="24"/>
      <c r="C629" s="24"/>
      <c r="D629" s="24"/>
      <c r="U629" s="26"/>
      <c r="Z629" s="26"/>
    </row>
    <row r="630" customFormat="false" ht="15" hidden="false" customHeight="false" outlineLevel="0" collapsed="false">
      <c r="B630" s="24"/>
      <c r="C630" s="24"/>
      <c r="D630" s="24"/>
      <c r="U630" s="26"/>
      <c r="Z630" s="26"/>
    </row>
    <row r="631" customFormat="false" ht="15" hidden="false" customHeight="false" outlineLevel="0" collapsed="false">
      <c r="B631" s="24"/>
      <c r="C631" s="24"/>
      <c r="D631" s="24"/>
      <c r="U631" s="26"/>
      <c r="Z631" s="26"/>
    </row>
    <row r="632" customFormat="false" ht="15" hidden="false" customHeight="false" outlineLevel="0" collapsed="false">
      <c r="B632" s="24"/>
      <c r="C632" s="24"/>
      <c r="D632" s="24"/>
      <c r="U632" s="26"/>
      <c r="Z632" s="26"/>
    </row>
    <row r="633" customFormat="false" ht="15" hidden="false" customHeight="false" outlineLevel="0" collapsed="false">
      <c r="B633" s="24"/>
      <c r="C633" s="24"/>
      <c r="D633" s="24"/>
      <c r="U633" s="26"/>
      <c r="Z633" s="26"/>
    </row>
    <row r="634" customFormat="false" ht="15" hidden="false" customHeight="false" outlineLevel="0" collapsed="false">
      <c r="B634" s="24"/>
      <c r="C634" s="24"/>
      <c r="D634" s="24"/>
      <c r="U634" s="26"/>
      <c r="Z634" s="26"/>
    </row>
    <row r="635" customFormat="false" ht="15" hidden="false" customHeight="false" outlineLevel="0" collapsed="false">
      <c r="B635" s="24"/>
      <c r="C635" s="24"/>
      <c r="D635" s="24"/>
      <c r="U635" s="26"/>
      <c r="Z635" s="26"/>
    </row>
    <row r="636" customFormat="false" ht="15" hidden="false" customHeight="false" outlineLevel="0" collapsed="false">
      <c r="B636" s="24"/>
      <c r="C636" s="24"/>
      <c r="D636" s="24"/>
      <c r="U636" s="26"/>
      <c r="Z636" s="26"/>
    </row>
    <row r="637" customFormat="false" ht="15" hidden="false" customHeight="false" outlineLevel="0" collapsed="false">
      <c r="B637" s="24"/>
      <c r="C637" s="24"/>
      <c r="D637" s="24"/>
      <c r="U637" s="26"/>
      <c r="Z637" s="26"/>
    </row>
    <row r="638" customFormat="false" ht="15" hidden="false" customHeight="false" outlineLevel="0" collapsed="false">
      <c r="B638" s="24"/>
      <c r="C638" s="24"/>
      <c r="D638" s="24"/>
      <c r="U638" s="26"/>
      <c r="Z638" s="26"/>
    </row>
    <row r="639" customFormat="false" ht="15" hidden="false" customHeight="false" outlineLevel="0" collapsed="false">
      <c r="B639" s="24"/>
      <c r="C639" s="24"/>
      <c r="D639" s="24"/>
      <c r="U639" s="26"/>
      <c r="Z639" s="26"/>
    </row>
    <row r="640" customFormat="false" ht="15" hidden="false" customHeight="false" outlineLevel="0" collapsed="false">
      <c r="B640" s="24"/>
      <c r="C640" s="24"/>
      <c r="D640" s="24"/>
      <c r="U640" s="26"/>
      <c r="Z640" s="26"/>
    </row>
    <row r="641" customFormat="false" ht="15" hidden="false" customHeight="false" outlineLevel="0" collapsed="false">
      <c r="B641" s="24"/>
      <c r="C641" s="24"/>
      <c r="D641" s="24"/>
      <c r="U641" s="26"/>
      <c r="Z641" s="26"/>
    </row>
    <row r="642" customFormat="false" ht="15" hidden="false" customHeight="false" outlineLevel="0" collapsed="false">
      <c r="B642" s="24"/>
      <c r="C642" s="24"/>
      <c r="D642" s="24"/>
      <c r="U642" s="26"/>
      <c r="Z642" s="26"/>
    </row>
    <row r="643" customFormat="false" ht="15" hidden="false" customHeight="false" outlineLevel="0" collapsed="false">
      <c r="B643" s="24"/>
      <c r="C643" s="24"/>
      <c r="D643" s="24"/>
      <c r="U643" s="26"/>
      <c r="Z643" s="26"/>
    </row>
    <row r="644" customFormat="false" ht="15" hidden="false" customHeight="false" outlineLevel="0" collapsed="false">
      <c r="B644" s="24"/>
      <c r="C644" s="24"/>
      <c r="D644" s="24"/>
      <c r="U644" s="26"/>
      <c r="Z644" s="26"/>
    </row>
    <row r="645" customFormat="false" ht="15" hidden="false" customHeight="false" outlineLevel="0" collapsed="false">
      <c r="B645" s="24"/>
      <c r="C645" s="24"/>
      <c r="D645" s="24"/>
      <c r="U645" s="26"/>
      <c r="Z645" s="26"/>
    </row>
    <row r="646" customFormat="false" ht="15" hidden="false" customHeight="false" outlineLevel="0" collapsed="false">
      <c r="B646" s="24"/>
      <c r="C646" s="24"/>
      <c r="D646" s="24"/>
      <c r="U646" s="26"/>
      <c r="Z646" s="26"/>
    </row>
    <row r="647" customFormat="false" ht="15" hidden="false" customHeight="false" outlineLevel="0" collapsed="false">
      <c r="B647" s="24"/>
      <c r="C647" s="24"/>
      <c r="D647" s="24"/>
      <c r="U647" s="26"/>
      <c r="Z647" s="26"/>
    </row>
    <row r="648" customFormat="false" ht="15" hidden="false" customHeight="false" outlineLevel="0" collapsed="false">
      <c r="B648" s="24"/>
      <c r="C648" s="24"/>
      <c r="D648" s="24"/>
      <c r="U648" s="26"/>
      <c r="Z648" s="26"/>
    </row>
    <row r="649" customFormat="false" ht="15" hidden="false" customHeight="false" outlineLevel="0" collapsed="false">
      <c r="B649" s="24"/>
      <c r="C649" s="24"/>
      <c r="D649" s="24"/>
      <c r="U649" s="26"/>
      <c r="Z649" s="26"/>
    </row>
    <row r="650" customFormat="false" ht="15" hidden="false" customHeight="false" outlineLevel="0" collapsed="false">
      <c r="B650" s="24"/>
      <c r="C650" s="24"/>
      <c r="D650" s="24"/>
      <c r="U650" s="26"/>
      <c r="Z650" s="26"/>
    </row>
    <row r="651" customFormat="false" ht="15" hidden="false" customHeight="false" outlineLevel="0" collapsed="false">
      <c r="B651" s="24"/>
      <c r="C651" s="24"/>
      <c r="D651" s="24"/>
      <c r="U651" s="26"/>
      <c r="Z651" s="26"/>
    </row>
    <row r="652" customFormat="false" ht="15" hidden="false" customHeight="false" outlineLevel="0" collapsed="false">
      <c r="B652" s="24"/>
      <c r="C652" s="24"/>
      <c r="D652" s="24"/>
      <c r="U652" s="26"/>
      <c r="Z652" s="26"/>
    </row>
    <row r="653" customFormat="false" ht="15" hidden="false" customHeight="false" outlineLevel="0" collapsed="false">
      <c r="B653" s="24"/>
      <c r="C653" s="24"/>
      <c r="D653" s="24"/>
      <c r="U653" s="26"/>
      <c r="Z653" s="26"/>
    </row>
    <row r="654" customFormat="false" ht="15" hidden="false" customHeight="false" outlineLevel="0" collapsed="false">
      <c r="B654" s="24"/>
      <c r="C654" s="24"/>
      <c r="D654" s="24"/>
      <c r="U654" s="26"/>
      <c r="Z654" s="26"/>
    </row>
    <row r="655" customFormat="false" ht="15" hidden="false" customHeight="false" outlineLevel="0" collapsed="false">
      <c r="B655" s="24"/>
      <c r="C655" s="24"/>
      <c r="D655" s="24"/>
      <c r="U655" s="26"/>
      <c r="Z655" s="26"/>
    </row>
    <row r="656" customFormat="false" ht="15" hidden="false" customHeight="false" outlineLevel="0" collapsed="false">
      <c r="B656" s="24"/>
      <c r="C656" s="24"/>
      <c r="D656" s="24"/>
      <c r="U656" s="26"/>
      <c r="Z656" s="26"/>
    </row>
    <row r="657" customFormat="false" ht="15" hidden="false" customHeight="false" outlineLevel="0" collapsed="false">
      <c r="B657" s="24"/>
      <c r="C657" s="24"/>
      <c r="D657" s="24"/>
      <c r="U657" s="26"/>
      <c r="Z657" s="26"/>
    </row>
    <row r="658" customFormat="false" ht="15" hidden="false" customHeight="false" outlineLevel="0" collapsed="false">
      <c r="B658" s="24"/>
      <c r="C658" s="24"/>
      <c r="D658" s="24"/>
      <c r="U658" s="26"/>
      <c r="Z658" s="26"/>
    </row>
    <row r="659" customFormat="false" ht="15" hidden="false" customHeight="false" outlineLevel="0" collapsed="false">
      <c r="B659" s="24"/>
      <c r="C659" s="24"/>
      <c r="D659" s="24"/>
      <c r="U659" s="26"/>
      <c r="Z659" s="26"/>
    </row>
    <row r="660" customFormat="false" ht="15" hidden="false" customHeight="false" outlineLevel="0" collapsed="false">
      <c r="B660" s="24"/>
      <c r="C660" s="24"/>
      <c r="D660" s="24"/>
      <c r="U660" s="26"/>
      <c r="Z660" s="26"/>
    </row>
    <row r="661" customFormat="false" ht="15" hidden="false" customHeight="false" outlineLevel="0" collapsed="false">
      <c r="B661" s="24"/>
      <c r="C661" s="24"/>
      <c r="D661" s="24"/>
      <c r="U661" s="26"/>
      <c r="Z661" s="26"/>
    </row>
    <row r="662" customFormat="false" ht="15" hidden="false" customHeight="false" outlineLevel="0" collapsed="false">
      <c r="B662" s="24"/>
      <c r="C662" s="24"/>
      <c r="D662" s="24"/>
      <c r="U662" s="26"/>
      <c r="Z662" s="26"/>
    </row>
    <row r="663" customFormat="false" ht="15" hidden="false" customHeight="false" outlineLevel="0" collapsed="false">
      <c r="B663" s="24"/>
      <c r="C663" s="24"/>
      <c r="D663" s="24"/>
      <c r="U663" s="26"/>
      <c r="Z663" s="26"/>
    </row>
    <row r="664" customFormat="false" ht="15" hidden="false" customHeight="false" outlineLevel="0" collapsed="false">
      <c r="B664" s="24"/>
      <c r="C664" s="24"/>
      <c r="D664" s="24"/>
      <c r="U664" s="26"/>
      <c r="Z664" s="26"/>
    </row>
    <row r="665" customFormat="false" ht="15" hidden="false" customHeight="false" outlineLevel="0" collapsed="false">
      <c r="B665" s="24"/>
      <c r="C665" s="24"/>
      <c r="D665" s="24"/>
      <c r="U665" s="26"/>
      <c r="Z665" s="26"/>
    </row>
    <row r="666" customFormat="false" ht="15" hidden="false" customHeight="false" outlineLevel="0" collapsed="false">
      <c r="B666" s="24"/>
      <c r="C666" s="24"/>
      <c r="D666" s="24"/>
      <c r="U666" s="26"/>
      <c r="Z666" s="26"/>
    </row>
    <row r="667" customFormat="false" ht="15" hidden="false" customHeight="false" outlineLevel="0" collapsed="false">
      <c r="B667" s="24"/>
      <c r="C667" s="24"/>
      <c r="D667" s="24"/>
      <c r="U667" s="26"/>
      <c r="Z667" s="26"/>
    </row>
    <row r="668" customFormat="false" ht="15" hidden="false" customHeight="false" outlineLevel="0" collapsed="false">
      <c r="B668" s="24"/>
      <c r="C668" s="24"/>
      <c r="D668" s="24"/>
      <c r="U668" s="26"/>
      <c r="Z668" s="26"/>
    </row>
    <row r="669" customFormat="false" ht="15" hidden="false" customHeight="false" outlineLevel="0" collapsed="false">
      <c r="B669" s="24"/>
      <c r="C669" s="24"/>
      <c r="D669" s="24"/>
      <c r="U669" s="26"/>
      <c r="Z669" s="26"/>
    </row>
    <row r="670" customFormat="false" ht="15" hidden="false" customHeight="false" outlineLevel="0" collapsed="false">
      <c r="B670" s="24"/>
      <c r="C670" s="24"/>
      <c r="D670" s="24"/>
      <c r="U670" s="26"/>
      <c r="Z670" s="26"/>
    </row>
    <row r="671" customFormat="false" ht="15" hidden="false" customHeight="false" outlineLevel="0" collapsed="false">
      <c r="B671" s="24"/>
      <c r="C671" s="24"/>
      <c r="D671" s="24"/>
      <c r="U671" s="26"/>
      <c r="Z671" s="26"/>
    </row>
    <row r="672" customFormat="false" ht="15" hidden="false" customHeight="false" outlineLevel="0" collapsed="false">
      <c r="B672" s="24"/>
      <c r="C672" s="24"/>
      <c r="D672" s="24"/>
      <c r="U672" s="26"/>
      <c r="Z672" s="26"/>
    </row>
    <row r="673" customFormat="false" ht="15" hidden="false" customHeight="false" outlineLevel="0" collapsed="false">
      <c r="B673" s="24"/>
      <c r="C673" s="24"/>
      <c r="D673" s="24"/>
      <c r="U673" s="26"/>
      <c r="Z673" s="26"/>
    </row>
    <row r="674" customFormat="false" ht="15" hidden="false" customHeight="false" outlineLevel="0" collapsed="false">
      <c r="B674" s="24"/>
      <c r="C674" s="24"/>
      <c r="D674" s="24"/>
      <c r="U674" s="26"/>
      <c r="Z674" s="26"/>
    </row>
    <row r="675" customFormat="false" ht="15" hidden="false" customHeight="false" outlineLevel="0" collapsed="false">
      <c r="B675" s="24"/>
      <c r="C675" s="24"/>
      <c r="D675" s="24"/>
      <c r="U675" s="26"/>
      <c r="Z675" s="26"/>
    </row>
    <row r="676" customFormat="false" ht="15" hidden="false" customHeight="false" outlineLevel="0" collapsed="false">
      <c r="B676" s="24"/>
      <c r="C676" s="24"/>
      <c r="D676" s="24"/>
      <c r="U676" s="26"/>
      <c r="Z676" s="26"/>
    </row>
    <row r="677" customFormat="false" ht="15" hidden="false" customHeight="false" outlineLevel="0" collapsed="false">
      <c r="B677" s="24"/>
      <c r="C677" s="24"/>
      <c r="D677" s="24"/>
      <c r="U677" s="26"/>
      <c r="Z677" s="26"/>
    </row>
    <row r="678" customFormat="false" ht="15" hidden="false" customHeight="false" outlineLevel="0" collapsed="false">
      <c r="B678" s="24"/>
      <c r="C678" s="24"/>
      <c r="D678" s="24"/>
      <c r="U678" s="26"/>
      <c r="Z678" s="26"/>
    </row>
    <row r="679" customFormat="false" ht="15" hidden="false" customHeight="false" outlineLevel="0" collapsed="false">
      <c r="B679" s="24"/>
      <c r="C679" s="24"/>
      <c r="D679" s="24"/>
      <c r="U679" s="26"/>
      <c r="Z679" s="26"/>
    </row>
    <row r="680" customFormat="false" ht="15" hidden="false" customHeight="false" outlineLevel="0" collapsed="false">
      <c r="B680" s="24"/>
      <c r="C680" s="24"/>
      <c r="D680" s="24"/>
      <c r="U680" s="26"/>
      <c r="Z680" s="26"/>
    </row>
    <row r="681" customFormat="false" ht="15" hidden="false" customHeight="false" outlineLevel="0" collapsed="false">
      <c r="B681" s="24"/>
      <c r="C681" s="24"/>
      <c r="D681" s="24"/>
      <c r="U681" s="26"/>
      <c r="Z681" s="26"/>
    </row>
    <row r="682" customFormat="false" ht="15" hidden="false" customHeight="false" outlineLevel="0" collapsed="false">
      <c r="B682" s="24"/>
      <c r="C682" s="24"/>
      <c r="D682" s="24"/>
      <c r="U682" s="26"/>
      <c r="Z682" s="26"/>
    </row>
    <row r="683" customFormat="false" ht="15" hidden="false" customHeight="false" outlineLevel="0" collapsed="false">
      <c r="B683" s="24"/>
      <c r="C683" s="24"/>
      <c r="D683" s="24"/>
      <c r="U683" s="26"/>
      <c r="Z683" s="26"/>
    </row>
    <row r="684" customFormat="false" ht="15" hidden="false" customHeight="false" outlineLevel="0" collapsed="false">
      <c r="B684" s="24"/>
      <c r="C684" s="24"/>
      <c r="D684" s="24"/>
      <c r="U684" s="26"/>
      <c r="Z684" s="26"/>
    </row>
    <row r="685" customFormat="false" ht="15" hidden="false" customHeight="false" outlineLevel="0" collapsed="false">
      <c r="B685" s="24"/>
      <c r="C685" s="24"/>
      <c r="D685" s="24"/>
      <c r="U685" s="26"/>
      <c r="Z685" s="26"/>
    </row>
    <row r="686" customFormat="false" ht="15" hidden="false" customHeight="false" outlineLevel="0" collapsed="false">
      <c r="B686" s="24"/>
      <c r="C686" s="24"/>
      <c r="D686" s="24"/>
      <c r="U686" s="26"/>
      <c r="Z686" s="26"/>
    </row>
    <row r="687" customFormat="false" ht="15" hidden="false" customHeight="false" outlineLevel="0" collapsed="false">
      <c r="B687" s="24"/>
      <c r="C687" s="24"/>
      <c r="D687" s="24"/>
      <c r="U687" s="26"/>
      <c r="Z687" s="26"/>
    </row>
    <row r="688" customFormat="false" ht="15" hidden="false" customHeight="false" outlineLevel="0" collapsed="false">
      <c r="B688" s="24"/>
      <c r="C688" s="24"/>
      <c r="D688" s="24"/>
      <c r="U688" s="26"/>
      <c r="Z688" s="26"/>
    </row>
    <row r="689" customFormat="false" ht="15" hidden="false" customHeight="false" outlineLevel="0" collapsed="false">
      <c r="B689" s="24"/>
      <c r="C689" s="24"/>
      <c r="D689" s="24"/>
      <c r="U689" s="26"/>
      <c r="Z689" s="26"/>
    </row>
    <row r="690" customFormat="false" ht="15" hidden="false" customHeight="false" outlineLevel="0" collapsed="false">
      <c r="B690" s="24"/>
      <c r="C690" s="24"/>
      <c r="D690" s="24"/>
      <c r="U690" s="26"/>
      <c r="Z690" s="26"/>
    </row>
    <row r="691" customFormat="false" ht="15" hidden="false" customHeight="false" outlineLevel="0" collapsed="false">
      <c r="B691" s="24"/>
      <c r="C691" s="24"/>
      <c r="D691" s="24"/>
      <c r="U691" s="26"/>
      <c r="Z691" s="26"/>
    </row>
    <row r="692" customFormat="false" ht="15" hidden="false" customHeight="false" outlineLevel="0" collapsed="false">
      <c r="B692" s="24"/>
      <c r="C692" s="24"/>
      <c r="D692" s="24"/>
      <c r="U692" s="26"/>
      <c r="Z692" s="26"/>
    </row>
    <row r="693" customFormat="false" ht="15" hidden="false" customHeight="false" outlineLevel="0" collapsed="false">
      <c r="B693" s="24"/>
      <c r="C693" s="24"/>
      <c r="D693" s="24"/>
      <c r="U693" s="26"/>
      <c r="Z693" s="26"/>
    </row>
    <row r="694" customFormat="false" ht="15" hidden="false" customHeight="false" outlineLevel="0" collapsed="false">
      <c r="B694" s="24"/>
      <c r="C694" s="24"/>
      <c r="D694" s="24"/>
      <c r="U694" s="26"/>
      <c r="Z694" s="26"/>
    </row>
    <row r="695" customFormat="false" ht="15" hidden="false" customHeight="false" outlineLevel="0" collapsed="false">
      <c r="B695" s="24"/>
      <c r="C695" s="24"/>
      <c r="D695" s="24"/>
      <c r="U695" s="26"/>
      <c r="Z695" s="26"/>
    </row>
    <row r="696" customFormat="false" ht="15" hidden="false" customHeight="false" outlineLevel="0" collapsed="false">
      <c r="B696" s="24"/>
      <c r="C696" s="24"/>
      <c r="D696" s="24"/>
      <c r="U696" s="26"/>
      <c r="Z696" s="26"/>
    </row>
    <row r="697" customFormat="false" ht="15" hidden="false" customHeight="false" outlineLevel="0" collapsed="false">
      <c r="B697" s="24"/>
      <c r="C697" s="24"/>
      <c r="D697" s="24"/>
      <c r="U697" s="26"/>
      <c r="Z697" s="26"/>
    </row>
    <row r="698" customFormat="false" ht="15" hidden="false" customHeight="false" outlineLevel="0" collapsed="false">
      <c r="B698" s="24"/>
      <c r="C698" s="24"/>
      <c r="D698" s="24"/>
      <c r="U698" s="26"/>
      <c r="Z698" s="26"/>
    </row>
    <row r="699" customFormat="false" ht="15" hidden="false" customHeight="false" outlineLevel="0" collapsed="false">
      <c r="B699" s="24"/>
      <c r="C699" s="24"/>
      <c r="D699" s="24"/>
      <c r="U699" s="26"/>
      <c r="Z699" s="26"/>
    </row>
    <row r="700" customFormat="false" ht="15" hidden="false" customHeight="false" outlineLevel="0" collapsed="false">
      <c r="B700" s="24"/>
      <c r="C700" s="24"/>
      <c r="D700" s="24"/>
      <c r="U700" s="26"/>
      <c r="Z700" s="26"/>
    </row>
    <row r="701" customFormat="false" ht="15" hidden="false" customHeight="false" outlineLevel="0" collapsed="false">
      <c r="B701" s="24"/>
      <c r="C701" s="24"/>
      <c r="D701" s="24"/>
      <c r="U701" s="26"/>
      <c r="Z701" s="26"/>
    </row>
    <row r="702" customFormat="false" ht="15" hidden="false" customHeight="false" outlineLevel="0" collapsed="false">
      <c r="B702" s="24"/>
      <c r="C702" s="24"/>
      <c r="D702" s="24"/>
      <c r="U702" s="26"/>
      <c r="Z702" s="26"/>
    </row>
    <row r="703" customFormat="false" ht="15" hidden="false" customHeight="false" outlineLevel="0" collapsed="false">
      <c r="B703" s="24"/>
      <c r="C703" s="24"/>
      <c r="D703" s="24"/>
      <c r="U703" s="26"/>
      <c r="Z703" s="26"/>
    </row>
    <row r="704" customFormat="false" ht="15" hidden="false" customHeight="false" outlineLevel="0" collapsed="false">
      <c r="B704" s="24"/>
      <c r="C704" s="24"/>
      <c r="D704" s="24"/>
      <c r="U704" s="26"/>
      <c r="Z704" s="26"/>
    </row>
    <row r="705" customFormat="false" ht="15" hidden="false" customHeight="false" outlineLevel="0" collapsed="false">
      <c r="B705" s="24"/>
      <c r="C705" s="24"/>
      <c r="D705" s="24"/>
      <c r="U705" s="26"/>
      <c r="Z705" s="26"/>
    </row>
    <row r="706" customFormat="false" ht="15" hidden="false" customHeight="false" outlineLevel="0" collapsed="false">
      <c r="B706" s="24"/>
      <c r="C706" s="24"/>
      <c r="D706" s="24"/>
      <c r="U706" s="26"/>
      <c r="Z706" s="26"/>
    </row>
    <row r="707" customFormat="false" ht="15" hidden="false" customHeight="false" outlineLevel="0" collapsed="false">
      <c r="B707" s="24"/>
      <c r="C707" s="24"/>
      <c r="D707" s="24"/>
      <c r="U707" s="26"/>
      <c r="Z707" s="26"/>
    </row>
    <row r="708" customFormat="false" ht="15" hidden="false" customHeight="false" outlineLevel="0" collapsed="false">
      <c r="B708" s="24"/>
      <c r="C708" s="24"/>
      <c r="D708" s="24"/>
      <c r="U708" s="26"/>
      <c r="Z708" s="26"/>
    </row>
    <row r="709" customFormat="false" ht="15" hidden="false" customHeight="false" outlineLevel="0" collapsed="false">
      <c r="B709" s="24"/>
      <c r="C709" s="24"/>
      <c r="D709" s="24"/>
      <c r="U709" s="26"/>
      <c r="Z709" s="26"/>
    </row>
    <row r="710" customFormat="false" ht="15" hidden="false" customHeight="false" outlineLevel="0" collapsed="false">
      <c r="B710" s="24"/>
      <c r="C710" s="24"/>
      <c r="D710" s="24"/>
      <c r="U710" s="26"/>
      <c r="Z710" s="26"/>
    </row>
    <row r="711" customFormat="false" ht="15" hidden="false" customHeight="false" outlineLevel="0" collapsed="false">
      <c r="B711" s="24"/>
      <c r="C711" s="24"/>
      <c r="D711" s="24"/>
      <c r="U711" s="26"/>
      <c r="Z711" s="26"/>
    </row>
    <row r="712" customFormat="false" ht="15" hidden="false" customHeight="false" outlineLevel="0" collapsed="false">
      <c r="B712" s="24"/>
      <c r="C712" s="24"/>
      <c r="D712" s="24"/>
      <c r="U712" s="26"/>
      <c r="Z712" s="26"/>
    </row>
    <row r="713" customFormat="false" ht="15" hidden="false" customHeight="false" outlineLevel="0" collapsed="false">
      <c r="B713" s="24"/>
      <c r="C713" s="24"/>
      <c r="D713" s="24"/>
      <c r="U713" s="26"/>
      <c r="Z713" s="26"/>
    </row>
    <row r="714" customFormat="false" ht="15" hidden="false" customHeight="false" outlineLevel="0" collapsed="false">
      <c r="B714" s="24"/>
      <c r="C714" s="24"/>
      <c r="D714" s="24"/>
      <c r="U714" s="26"/>
      <c r="Z714" s="26"/>
    </row>
    <row r="715" customFormat="false" ht="15" hidden="false" customHeight="false" outlineLevel="0" collapsed="false">
      <c r="B715" s="24"/>
      <c r="C715" s="24"/>
      <c r="D715" s="24"/>
      <c r="U715" s="26"/>
      <c r="Z715" s="26"/>
    </row>
    <row r="716" customFormat="false" ht="15" hidden="false" customHeight="false" outlineLevel="0" collapsed="false">
      <c r="B716" s="24"/>
      <c r="C716" s="24"/>
      <c r="D716" s="24"/>
      <c r="U716" s="26"/>
      <c r="Z716" s="26"/>
    </row>
    <row r="717" customFormat="false" ht="15" hidden="false" customHeight="false" outlineLevel="0" collapsed="false">
      <c r="B717" s="24"/>
      <c r="C717" s="24"/>
      <c r="D717" s="24"/>
      <c r="U717" s="26"/>
      <c r="Z717" s="26"/>
    </row>
    <row r="718" customFormat="false" ht="15" hidden="false" customHeight="false" outlineLevel="0" collapsed="false">
      <c r="B718" s="24"/>
      <c r="C718" s="24"/>
      <c r="D718" s="24"/>
      <c r="U718" s="26"/>
      <c r="Z718" s="26"/>
    </row>
    <row r="719" customFormat="false" ht="15" hidden="false" customHeight="false" outlineLevel="0" collapsed="false">
      <c r="B719" s="24"/>
      <c r="C719" s="24"/>
      <c r="D719" s="24"/>
      <c r="U719" s="26"/>
      <c r="Z719" s="26"/>
    </row>
    <row r="720" customFormat="false" ht="15" hidden="false" customHeight="false" outlineLevel="0" collapsed="false">
      <c r="B720" s="24"/>
      <c r="C720" s="24"/>
      <c r="D720" s="24"/>
      <c r="U720" s="26"/>
      <c r="Z720" s="26"/>
    </row>
    <row r="721" customFormat="false" ht="15" hidden="false" customHeight="false" outlineLevel="0" collapsed="false">
      <c r="B721" s="24"/>
      <c r="C721" s="24"/>
      <c r="D721" s="24"/>
      <c r="U721" s="26"/>
      <c r="Z721" s="26"/>
    </row>
    <row r="722" customFormat="false" ht="15" hidden="false" customHeight="false" outlineLevel="0" collapsed="false">
      <c r="B722" s="24"/>
      <c r="C722" s="24"/>
      <c r="D722" s="24"/>
      <c r="U722" s="26"/>
      <c r="Z722" s="26"/>
    </row>
    <row r="723" customFormat="false" ht="15" hidden="false" customHeight="false" outlineLevel="0" collapsed="false">
      <c r="B723" s="24"/>
      <c r="C723" s="24"/>
      <c r="D723" s="24"/>
      <c r="U723" s="26"/>
      <c r="Z723" s="26"/>
    </row>
    <row r="724" customFormat="false" ht="15" hidden="false" customHeight="false" outlineLevel="0" collapsed="false">
      <c r="B724" s="24"/>
      <c r="C724" s="24"/>
      <c r="D724" s="24"/>
      <c r="U724" s="26"/>
      <c r="Z724" s="26"/>
    </row>
    <row r="725" customFormat="false" ht="15" hidden="false" customHeight="false" outlineLevel="0" collapsed="false">
      <c r="B725" s="24"/>
      <c r="C725" s="24"/>
      <c r="D725" s="24"/>
      <c r="U725" s="26"/>
      <c r="Z725" s="26"/>
    </row>
    <row r="726" customFormat="false" ht="15" hidden="false" customHeight="false" outlineLevel="0" collapsed="false">
      <c r="B726" s="24"/>
      <c r="C726" s="24"/>
      <c r="D726" s="24"/>
      <c r="U726" s="26"/>
      <c r="Z726" s="26"/>
    </row>
    <row r="727" customFormat="false" ht="15" hidden="false" customHeight="false" outlineLevel="0" collapsed="false">
      <c r="B727" s="24"/>
      <c r="C727" s="24"/>
      <c r="D727" s="24"/>
      <c r="U727" s="26"/>
      <c r="Z727" s="26"/>
    </row>
    <row r="728" customFormat="false" ht="15" hidden="false" customHeight="false" outlineLevel="0" collapsed="false">
      <c r="B728" s="24"/>
      <c r="C728" s="24"/>
      <c r="D728" s="24"/>
      <c r="U728" s="26"/>
      <c r="Z728" s="26"/>
    </row>
    <row r="729" customFormat="false" ht="15" hidden="false" customHeight="false" outlineLevel="0" collapsed="false">
      <c r="B729" s="24"/>
      <c r="C729" s="24"/>
      <c r="D729" s="24"/>
      <c r="U729" s="26"/>
      <c r="Z729" s="26"/>
    </row>
    <row r="730" customFormat="false" ht="15" hidden="false" customHeight="false" outlineLevel="0" collapsed="false">
      <c r="B730" s="24"/>
      <c r="C730" s="24"/>
      <c r="D730" s="24"/>
      <c r="U730" s="26"/>
      <c r="Z730" s="26"/>
    </row>
    <row r="731" customFormat="false" ht="15" hidden="false" customHeight="false" outlineLevel="0" collapsed="false">
      <c r="B731" s="24"/>
      <c r="C731" s="24"/>
      <c r="D731" s="24"/>
      <c r="U731" s="26"/>
      <c r="Z731" s="26"/>
    </row>
    <row r="732" customFormat="false" ht="15" hidden="false" customHeight="false" outlineLevel="0" collapsed="false">
      <c r="B732" s="24"/>
      <c r="C732" s="24"/>
      <c r="D732" s="24"/>
      <c r="U732" s="26"/>
      <c r="Z732" s="26"/>
    </row>
    <row r="733" customFormat="false" ht="15" hidden="false" customHeight="false" outlineLevel="0" collapsed="false">
      <c r="B733" s="24"/>
      <c r="C733" s="24"/>
      <c r="D733" s="24"/>
      <c r="U733" s="26"/>
      <c r="Z733" s="26"/>
    </row>
    <row r="734" customFormat="false" ht="15" hidden="false" customHeight="false" outlineLevel="0" collapsed="false">
      <c r="B734" s="24"/>
      <c r="C734" s="24"/>
      <c r="D734" s="24"/>
      <c r="U734" s="26"/>
      <c r="Z734" s="26"/>
    </row>
    <row r="735" customFormat="false" ht="15" hidden="false" customHeight="false" outlineLevel="0" collapsed="false">
      <c r="B735" s="24"/>
      <c r="C735" s="24"/>
      <c r="D735" s="24"/>
      <c r="U735" s="26"/>
      <c r="Z735" s="26"/>
    </row>
    <row r="736" customFormat="false" ht="15" hidden="false" customHeight="false" outlineLevel="0" collapsed="false">
      <c r="B736" s="24"/>
      <c r="C736" s="24"/>
      <c r="D736" s="24"/>
      <c r="U736" s="26"/>
      <c r="Z736" s="26"/>
    </row>
    <row r="737" customFormat="false" ht="15" hidden="false" customHeight="false" outlineLevel="0" collapsed="false">
      <c r="B737" s="24"/>
      <c r="C737" s="24"/>
      <c r="D737" s="24"/>
      <c r="U737" s="26"/>
      <c r="Z737" s="26"/>
    </row>
    <row r="738" customFormat="false" ht="15" hidden="false" customHeight="false" outlineLevel="0" collapsed="false">
      <c r="B738" s="24"/>
      <c r="C738" s="24"/>
      <c r="D738" s="24"/>
      <c r="U738" s="26"/>
      <c r="Z738" s="26"/>
    </row>
    <row r="739" customFormat="false" ht="15" hidden="false" customHeight="false" outlineLevel="0" collapsed="false">
      <c r="B739" s="24"/>
      <c r="C739" s="24"/>
      <c r="D739" s="24"/>
      <c r="U739" s="26"/>
      <c r="Z739" s="26"/>
    </row>
    <row r="740" customFormat="false" ht="15" hidden="false" customHeight="false" outlineLevel="0" collapsed="false">
      <c r="B740" s="24"/>
      <c r="C740" s="24"/>
      <c r="D740" s="24"/>
      <c r="U740" s="26"/>
      <c r="Z740" s="26"/>
    </row>
    <row r="741" customFormat="false" ht="15" hidden="false" customHeight="false" outlineLevel="0" collapsed="false">
      <c r="B741" s="24"/>
      <c r="C741" s="24"/>
      <c r="D741" s="24"/>
      <c r="U741" s="26"/>
      <c r="Z741" s="26"/>
    </row>
    <row r="742" customFormat="false" ht="15" hidden="false" customHeight="false" outlineLevel="0" collapsed="false">
      <c r="B742" s="24"/>
      <c r="C742" s="24"/>
      <c r="D742" s="24"/>
      <c r="U742" s="26"/>
      <c r="Z742" s="26"/>
    </row>
    <row r="743" customFormat="false" ht="15" hidden="false" customHeight="false" outlineLevel="0" collapsed="false">
      <c r="B743" s="24"/>
      <c r="C743" s="24"/>
      <c r="D743" s="24"/>
      <c r="U743" s="26"/>
      <c r="Z743" s="26"/>
    </row>
    <row r="744" customFormat="false" ht="15" hidden="false" customHeight="false" outlineLevel="0" collapsed="false">
      <c r="B744" s="24"/>
      <c r="C744" s="24"/>
      <c r="D744" s="24"/>
      <c r="U744" s="26"/>
      <c r="Z744" s="26"/>
    </row>
    <row r="745" customFormat="false" ht="15" hidden="false" customHeight="false" outlineLevel="0" collapsed="false">
      <c r="B745" s="24"/>
      <c r="C745" s="24"/>
      <c r="D745" s="24"/>
      <c r="U745" s="26"/>
      <c r="Z745" s="26"/>
    </row>
    <row r="746" customFormat="false" ht="15" hidden="false" customHeight="false" outlineLevel="0" collapsed="false">
      <c r="B746" s="24"/>
      <c r="C746" s="24"/>
      <c r="D746" s="24"/>
      <c r="U746" s="26"/>
      <c r="Z746" s="26"/>
    </row>
    <row r="747" customFormat="false" ht="15" hidden="false" customHeight="false" outlineLevel="0" collapsed="false">
      <c r="B747" s="24"/>
      <c r="C747" s="24"/>
      <c r="D747" s="24"/>
      <c r="U747" s="26"/>
      <c r="Z747" s="26"/>
    </row>
    <row r="748" customFormat="false" ht="15" hidden="false" customHeight="false" outlineLevel="0" collapsed="false">
      <c r="B748" s="24"/>
      <c r="C748" s="24"/>
      <c r="D748" s="24"/>
      <c r="U748" s="26"/>
      <c r="Z748" s="26"/>
    </row>
    <row r="749" customFormat="false" ht="15" hidden="false" customHeight="false" outlineLevel="0" collapsed="false">
      <c r="B749" s="24"/>
      <c r="C749" s="24"/>
      <c r="D749" s="24"/>
      <c r="U749" s="26"/>
      <c r="Z749" s="26"/>
    </row>
    <row r="750" customFormat="false" ht="15" hidden="false" customHeight="false" outlineLevel="0" collapsed="false">
      <c r="B750" s="24"/>
      <c r="C750" s="24"/>
      <c r="D750" s="24"/>
      <c r="U750" s="26"/>
      <c r="Z750" s="26"/>
    </row>
    <row r="751" customFormat="false" ht="15" hidden="false" customHeight="false" outlineLevel="0" collapsed="false">
      <c r="B751" s="24"/>
      <c r="C751" s="24"/>
      <c r="D751" s="24"/>
      <c r="U751" s="26"/>
      <c r="Z751" s="26"/>
    </row>
    <row r="752" customFormat="false" ht="15" hidden="false" customHeight="false" outlineLevel="0" collapsed="false">
      <c r="B752" s="24"/>
      <c r="C752" s="24"/>
      <c r="D752" s="24"/>
      <c r="U752" s="26"/>
      <c r="Z752" s="26"/>
    </row>
    <row r="753" customFormat="false" ht="15" hidden="false" customHeight="false" outlineLevel="0" collapsed="false">
      <c r="B753" s="24"/>
      <c r="C753" s="24"/>
      <c r="D753" s="24"/>
      <c r="U753" s="26"/>
      <c r="Z753" s="26"/>
    </row>
    <row r="754" customFormat="false" ht="15" hidden="false" customHeight="false" outlineLevel="0" collapsed="false">
      <c r="B754" s="24"/>
      <c r="C754" s="24"/>
      <c r="D754" s="24"/>
      <c r="U754" s="26"/>
      <c r="Z754" s="26"/>
    </row>
    <row r="755" customFormat="false" ht="15" hidden="false" customHeight="false" outlineLevel="0" collapsed="false">
      <c r="B755" s="24"/>
      <c r="C755" s="24"/>
      <c r="D755" s="24"/>
      <c r="U755" s="26"/>
      <c r="Z755" s="26"/>
    </row>
    <row r="756" customFormat="false" ht="15" hidden="false" customHeight="false" outlineLevel="0" collapsed="false">
      <c r="B756" s="24"/>
      <c r="C756" s="24"/>
      <c r="D756" s="24"/>
      <c r="U756" s="26"/>
      <c r="Z756" s="26"/>
    </row>
    <row r="757" customFormat="false" ht="15" hidden="false" customHeight="false" outlineLevel="0" collapsed="false">
      <c r="B757" s="24"/>
      <c r="C757" s="24"/>
      <c r="D757" s="24"/>
      <c r="U757" s="26"/>
      <c r="Z757" s="26"/>
    </row>
    <row r="758" customFormat="false" ht="15" hidden="false" customHeight="false" outlineLevel="0" collapsed="false">
      <c r="B758" s="24"/>
      <c r="C758" s="24"/>
      <c r="D758" s="24"/>
      <c r="U758" s="26"/>
      <c r="Z758" s="26"/>
    </row>
    <row r="759" customFormat="false" ht="15" hidden="false" customHeight="false" outlineLevel="0" collapsed="false">
      <c r="B759" s="24"/>
      <c r="C759" s="24"/>
      <c r="D759" s="24"/>
      <c r="U759" s="26"/>
      <c r="Z759" s="26"/>
    </row>
    <row r="760" customFormat="false" ht="15" hidden="false" customHeight="false" outlineLevel="0" collapsed="false">
      <c r="B760" s="24"/>
      <c r="C760" s="24"/>
      <c r="D760" s="24"/>
      <c r="U760" s="26"/>
      <c r="Z760" s="26"/>
    </row>
    <row r="761" customFormat="false" ht="15" hidden="false" customHeight="false" outlineLevel="0" collapsed="false">
      <c r="B761" s="24"/>
      <c r="C761" s="24"/>
      <c r="D761" s="24"/>
      <c r="U761" s="26"/>
      <c r="Z761" s="26"/>
    </row>
    <row r="762" customFormat="false" ht="15" hidden="false" customHeight="false" outlineLevel="0" collapsed="false">
      <c r="B762" s="24"/>
      <c r="C762" s="24"/>
      <c r="D762" s="24"/>
      <c r="U762" s="26"/>
      <c r="Z762" s="26"/>
    </row>
    <row r="763" customFormat="false" ht="15" hidden="false" customHeight="false" outlineLevel="0" collapsed="false">
      <c r="B763" s="24"/>
      <c r="C763" s="24"/>
      <c r="D763" s="24"/>
      <c r="U763" s="26"/>
      <c r="Z763" s="26"/>
    </row>
    <row r="764" customFormat="false" ht="15" hidden="false" customHeight="false" outlineLevel="0" collapsed="false">
      <c r="B764" s="24"/>
      <c r="C764" s="24"/>
      <c r="D764" s="24"/>
      <c r="U764" s="26"/>
      <c r="Z764" s="26"/>
    </row>
    <row r="765" customFormat="false" ht="15" hidden="false" customHeight="false" outlineLevel="0" collapsed="false">
      <c r="B765" s="24"/>
      <c r="C765" s="24"/>
      <c r="D765" s="24"/>
      <c r="U765" s="26"/>
      <c r="Z765" s="26"/>
    </row>
    <row r="766" customFormat="false" ht="15" hidden="false" customHeight="false" outlineLevel="0" collapsed="false">
      <c r="B766" s="24"/>
      <c r="C766" s="24"/>
      <c r="D766" s="24"/>
      <c r="U766" s="26"/>
      <c r="Z766" s="26"/>
    </row>
    <row r="767" customFormat="false" ht="15" hidden="false" customHeight="false" outlineLevel="0" collapsed="false">
      <c r="B767" s="24"/>
      <c r="C767" s="24"/>
      <c r="D767" s="24"/>
      <c r="U767" s="26"/>
      <c r="Z767" s="26"/>
    </row>
    <row r="768" customFormat="false" ht="15" hidden="false" customHeight="false" outlineLevel="0" collapsed="false">
      <c r="B768" s="24"/>
      <c r="C768" s="24"/>
      <c r="D768" s="24"/>
      <c r="U768" s="26"/>
      <c r="Z768" s="26"/>
    </row>
    <row r="769" customFormat="false" ht="15" hidden="false" customHeight="false" outlineLevel="0" collapsed="false">
      <c r="B769" s="24"/>
      <c r="C769" s="24"/>
      <c r="D769" s="24"/>
      <c r="U769" s="26"/>
      <c r="Z769" s="26"/>
    </row>
    <row r="770" customFormat="false" ht="15" hidden="false" customHeight="false" outlineLevel="0" collapsed="false">
      <c r="B770" s="24"/>
      <c r="C770" s="24"/>
      <c r="D770" s="24"/>
      <c r="U770" s="26"/>
      <c r="Z770" s="26"/>
    </row>
    <row r="771" customFormat="false" ht="15" hidden="false" customHeight="false" outlineLevel="0" collapsed="false">
      <c r="B771" s="24"/>
      <c r="C771" s="24"/>
      <c r="D771" s="24"/>
      <c r="U771" s="26"/>
      <c r="Z771" s="26"/>
    </row>
    <row r="772" customFormat="false" ht="15" hidden="false" customHeight="false" outlineLevel="0" collapsed="false">
      <c r="B772" s="24"/>
      <c r="C772" s="24"/>
      <c r="D772" s="24"/>
      <c r="U772" s="26"/>
      <c r="Z772" s="26"/>
    </row>
    <row r="773" customFormat="false" ht="15" hidden="false" customHeight="false" outlineLevel="0" collapsed="false">
      <c r="B773" s="24"/>
      <c r="C773" s="24"/>
      <c r="D773" s="24"/>
      <c r="U773" s="26"/>
      <c r="Z773" s="26"/>
    </row>
    <row r="774" customFormat="false" ht="15" hidden="false" customHeight="false" outlineLevel="0" collapsed="false">
      <c r="B774" s="24"/>
      <c r="C774" s="24"/>
      <c r="D774" s="24"/>
      <c r="U774" s="26"/>
      <c r="Z774" s="26"/>
    </row>
    <row r="775" customFormat="false" ht="15" hidden="false" customHeight="false" outlineLevel="0" collapsed="false">
      <c r="B775" s="24"/>
      <c r="C775" s="24"/>
      <c r="D775" s="24"/>
      <c r="U775" s="26"/>
      <c r="Z775" s="26"/>
    </row>
    <row r="776" customFormat="false" ht="15" hidden="false" customHeight="false" outlineLevel="0" collapsed="false">
      <c r="B776" s="24"/>
      <c r="C776" s="24"/>
      <c r="D776" s="24"/>
      <c r="U776" s="26"/>
      <c r="Z776" s="26"/>
    </row>
    <row r="777" customFormat="false" ht="15" hidden="false" customHeight="false" outlineLevel="0" collapsed="false">
      <c r="B777" s="24"/>
      <c r="C777" s="24"/>
      <c r="D777" s="24"/>
      <c r="U777" s="26"/>
      <c r="Z777" s="26"/>
    </row>
    <row r="778" customFormat="false" ht="15" hidden="false" customHeight="false" outlineLevel="0" collapsed="false">
      <c r="B778" s="24"/>
      <c r="C778" s="24"/>
      <c r="D778" s="24"/>
      <c r="U778" s="26"/>
      <c r="Z778" s="26"/>
    </row>
    <row r="779" customFormat="false" ht="15" hidden="false" customHeight="false" outlineLevel="0" collapsed="false">
      <c r="B779" s="24"/>
      <c r="C779" s="24"/>
      <c r="D779" s="24"/>
      <c r="U779" s="26"/>
      <c r="Z779" s="26"/>
    </row>
    <row r="780" customFormat="false" ht="15" hidden="false" customHeight="false" outlineLevel="0" collapsed="false">
      <c r="B780" s="24"/>
      <c r="C780" s="24"/>
      <c r="D780" s="24"/>
      <c r="U780" s="26"/>
      <c r="Z780" s="26"/>
    </row>
    <row r="781" customFormat="false" ht="15" hidden="false" customHeight="false" outlineLevel="0" collapsed="false">
      <c r="B781" s="24"/>
      <c r="C781" s="24"/>
      <c r="D781" s="24"/>
      <c r="U781" s="26"/>
      <c r="Z781" s="26"/>
    </row>
    <row r="782" customFormat="false" ht="15" hidden="false" customHeight="false" outlineLevel="0" collapsed="false">
      <c r="B782" s="24"/>
      <c r="C782" s="24"/>
      <c r="D782" s="24"/>
      <c r="U782" s="26"/>
      <c r="Z782" s="26"/>
    </row>
    <row r="783" customFormat="false" ht="15" hidden="false" customHeight="false" outlineLevel="0" collapsed="false">
      <c r="B783" s="24"/>
      <c r="C783" s="24"/>
      <c r="D783" s="24"/>
      <c r="U783" s="26"/>
      <c r="Z783" s="26"/>
    </row>
    <row r="784" customFormat="false" ht="15" hidden="false" customHeight="false" outlineLevel="0" collapsed="false">
      <c r="B784" s="24"/>
      <c r="C784" s="24"/>
      <c r="D784" s="24"/>
      <c r="U784" s="26"/>
      <c r="Z784" s="26"/>
    </row>
    <row r="785" customFormat="false" ht="15" hidden="false" customHeight="false" outlineLevel="0" collapsed="false">
      <c r="B785" s="24"/>
      <c r="C785" s="24"/>
      <c r="D785" s="24"/>
      <c r="U785" s="26"/>
      <c r="Z785" s="26"/>
    </row>
    <row r="786" customFormat="false" ht="15" hidden="false" customHeight="false" outlineLevel="0" collapsed="false">
      <c r="B786" s="24"/>
      <c r="C786" s="24"/>
      <c r="D786" s="24"/>
      <c r="U786" s="26"/>
      <c r="Z786" s="26"/>
    </row>
    <row r="787" customFormat="false" ht="15" hidden="false" customHeight="false" outlineLevel="0" collapsed="false">
      <c r="B787" s="24"/>
      <c r="C787" s="24"/>
      <c r="D787" s="24"/>
      <c r="U787" s="26"/>
      <c r="Z787" s="26"/>
    </row>
    <row r="788" customFormat="false" ht="15" hidden="false" customHeight="false" outlineLevel="0" collapsed="false">
      <c r="B788" s="24"/>
      <c r="C788" s="24"/>
      <c r="D788" s="24"/>
      <c r="U788" s="26"/>
      <c r="Z788" s="26"/>
    </row>
    <row r="789" customFormat="false" ht="15" hidden="false" customHeight="false" outlineLevel="0" collapsed="false">
      <c r="B789" s="24"/>
      <c r="C789" s="24"/>
      <c r="D789" s="24"/>
      <c r="U789" s="26"/>
      <c r="Z789" s="26"/>
    </row>
    <row r="790" customFormat="false" ht="15" hidden="false" customHeight="false" outlineLevel="0" collapsed="false">
      <c r="B790" s="24"/>
      <c r="C790" s="24"/>
      <c r="D790" s="24"/>
      <c r="U790" s="26"/>
      <c r="Z790" s="26"/>
    </row>
    <row r="791" customFormat="false" ht="15" hidden="false" customHeight="false" outlineLevel="0" collapsed="false">
      <c r="B791" s="24"/>
      <c r="C791" s="24"/>
      <c r="D791" s="24"/>
      <c r="U791" s="26"/>
      <c r="Z791" s="26"/>
    </row>
    <row r="792" customFormat="false" ht="15" hidden="false" customHeight="false" outlineLevel="0" collapsed="false">
      <c r="B792" s="24"/>
      <c r="C792" s="24"/>
      <c r="D792" s="24"/>
      <c r="U792" s="26"/>
      <c r="Z792" s="26"/>
    </row>
    <row r="793" customFormat="false" ht="15" hidden="false" customHeight="false" outlineLevel="0" collapsed="false">
      <c r="B793" s="24"/>
      <c r="C793" s="24"/>
      <c r="D793" s="24"/>
      <c r="U793" s="26"/>
      <c r="Z793" s="26"/>
    </row>
    <row r="794" customFormat="false" ht="15" hidden="false" customHeight="false" outlineLevel="0" collapsed="false">
      <c r="B794" s="24"/>
      <c r="C794" s="24"/>
      <c r="D794" s="24"/>
      <c r="U794" s="26"/>
      <c r="Z794" s="26"/>
    </row>
    <row r="795" customFormat="false" ht="15" hidden="false" customHeight="false" outlineLevel="0" collapsed="false">
      <c r="B795" s="24"/>
      <c r="C795" s="24"/>
      <c r="D795" s="24"/>
      <c r="U795" s="26"/>
      <c r="Z795" s="26"/>
    </row>
    <row r="796" customFormat="false" ht="15" hidden="false" customHeight="false" outlineLevel="0" collapsed="false">
      <c r="B796" s="24"/>
      <c r="C796" s="24"/>
      <c r="D796" s="24"/>
      <c r="U796" s="26"/>
      <c r="Z796" s="26"/>
    </row>
    <row r="797" customFormat="false" ht="15" hidden="false" customHeight="false" outlineLevel="0" collapsed="false">
      <c r="B797" s="24"/>
      <c r="C797" s="24"/>
      <c r="D797" s="24"/>
      <c r="U797" s="26"/>
      <c r="Z797" s="26"/>
    </row>
    <row r="798" customFormat="false" ht="15" hidden="false" customHeight="false" outlineLevel="0" collapsed="false">
      <c r="B798" s="24"/>
      <c r="C798" s="24"/>
      <c r="D798" s="24"/>
      <c r="U798" s="26"/>
      <c r="Z798" s="26"/>
    </row>
    <row r="799" customFormat="false" ht="15" hidden="false" customHeight="false" outlineLevel="0" collapsed="false">
      <c r="B799" s="24"/>
      <c r="C799" s="24"/>
      <c r="D799" s="24"/>
      <c r="U799" s="26"/>
      <c r="Z799" s="26"/>
    </row>
    <row r="800" customFormat="false" ht="15" hidden="false" customHeight="false" outlineLevel="0" collapsed="false">
      <c r="B800" s="24"/>
      <c r="C800" s="24"/>
      <c r="D800" s="24"/>
      <c r="U800" s="26"/>
      <c r="Z800" s="26"/>
    </row>
    <row r="801" customFormat="false" ht="15" hidden="false" customHeight="false" outlineLevel="0" collapsed="false">
      <c r="B801" s="24"/>
      <c r="C801" s="24"/>
      <c r="D801" s="24"/>
      <c r="U801" s="26"/>
      <c r="Z801" s="26"/>
    </row>
    <row r="802" customFormat="false" ht="15" hidden="false" customHeight="false" outlineLevel="0" collapsed="false">
      <c r="B802" s="24"/>
      <c r="C802" s="24"/>
      <c r="D802" s="24"/>
      <c r="U802" s="26"/>
      <c r="Z802" s="26"/>
    </row>
    <row r="803" customFormat="false" ht="15" hidden="false" customHeight="false" outlineLevel="0" collapsed="false">
      <c r="B803" s="24"/>
      <c r="C803" s="24"/>
      <c r="D803" s="24"/>
      <c r="U803" s="26"/>
      <c r="Z803" s="26"/>
    </row>
    <row r="804" customFormat="false" ht="15" hidden="false" customHeight="false" outlineLevel="0" collapsed="false">
      <c r="B804" s="24"/>
      <c r="C804" s="24"/>
      <c r="D804" s="24"/>
      <c r="U804" s="26"/>
      <c r="Z804" s="26"/>
    </row>
    <row r="805" customFormat="false" ht="15" hidden="false" customHeight="false" outlineLevel="0" collapsed="false">
      <c r="B805" s="24"/>
      <c r="C805" s="24"/>
      <c r="D805" s="24"/>
      <c r="U805" s="26"/>
      <c r="Z805" s="26"/>
    </row>
    <row r="806" customFormat="false" ht="15" hidden="false" customHeight="false" outlineLevel="0" collapsed="false">
      <c r="B806" s="24"/>
      <c r="C806" s="24"/>
      <c r="D806" s="24"/>
      <c r="U806" s="26"/>
      <c r="Z806" s="26"/>
    </row>
    <row r="807" customFormat="false" ht="15" hidden="false" customHeight="false" outlineLevel="0" collapsed="false">
      <c r="B807" s="24"/>
      <c r="C807" s="24"/>
      <c r="D807" s="24"/>
      <c r="U807" s="26"/>
      <c r="Z807" s="26"/>
    </row>
    <row r="808" customFormat="false" ht="15" hidden="false" customHeight="false" outlineLevel="0" collapsed="false">
      <c r="B808" s="24"/>
      <c r="C808" s="24"/>
      <c r="D808" s="24"/>
      <c r="U808" s="26"/>
      <c r="Z808" s="26"/>
    </row>
    <row r="809" customFormat="false" ht="15" hidden="false" customHeight="false" outlineLevel="0" collapsed="false">
      <c r="B809" s="24"/>
      <c r="C809" s="24"/>
      <c r="D809" s="24"/>
      <c r="U809" s="26"/>
      <c r="Z809" s="26"/>
    </row>
    <row r="810" customFormat="false" ht="15" hidden="false" customHeight="false" outlineLevel="0" collapsed="false">
      <c r="B810" s="24"/>
      <c r="C810" s="24"/>
      <c r="D810" s="24"/>
      <c r="U810" s="26"/>
      <c r="Z810" s="26"/>
    </row>
    <row r="811" customFormat="false" ht="15" hidden="false" customHeight="false" outlineLevel="0" collapsed="false">
      <c r="B811" s="24"/>
      <c r="C811" s="24"/>
      <c r="D811" s="24"/>
      <c r="U811" s="26"/>
      <c r="Z811" s="26"/>
    </row>
    <row r="812" customFormat="false" ht="15" hidden="false" customHeight="false" outlineLevel="0" collapsed="false">
      <c r="B812" s="24"/>
      <c r="C812" s="24"/>
      <c r="D812" s="24"/>
      <c r="U812" s="26"/>
      <c r="Z812" s="26"/>
    </row>
    <row r="813" customFormat="false" ht="15" hidden="false" customHeight="false" outlineLevel="0" collapsed="false">
      <c r="B813" s="24"/>
      <c r="C813" s="24"/>
      <c r="D813" s="24"/>
      <c r="U813" s="26"/>
      <c r="Z813" s="26"/>
    </row>
    <row r="814" customFormat="false" ht="15" hidden="false" customHeight="false" outlineLevel="0" collapsed="false">
      <c r="B814" s="24"/>
      <c r="C814" s="24"/>
      <c r="D814" s="24"/>
      <c r="U814" s="26"/>
      <c r="Z814" s="26"/>
    </row>
    <row r="815" customFormat="false" ht="15" hidden="false" customHeight="false" outlineLevel="0" collapsed="false">
      <c r="B815" s="24"/>
      <c r="C815" s="24"/>
      <c r="D815" s="24"/>
      <c r="U815" s="26"/>
      <c r="Z815" s="26"/>
    </row>
    <row r="816" customFormat="false" ht="15" hidden="false" customHeight="false" outlineLevel="0" collapsed="false">
      <c r="B816" s="24"/>
      <c r="C816" s="24"/>
      <c r="D816" s="24"/>
      <c r="U816" s="26"/>
      <c r="Z816" s="26"/>
    </row>
    <row r="817" customFormat="false" ht="15" hidden="false" customHeight="false" outlineLevel="0" collapsed="false">
      <c r="B817" s="24"/>
      <c r="C817" s="24"/>
      <c r="D817" s="24"/>
      <c r="U817" s="26"/>
      <c r="Z817" s="26"/>
    </row>
    <row r="818" customFormat="false" ht="15" hidden="false" customHeight="false" outlineLevel="0" collapsed="false">
      <c r="B818" s="24"/>
      <c r="C818" s="24"/>
      <c r="D818" s="24"/>
      <c r="U818" s="26"/>
      <c r="Z818" s="26"/>
    </row>
    <row r="819" customFormat="false" ht="15" hidden="false" customHeight="false" outlineLevel="0" collapsed="false">
      <c r="B819" s="24"/>
      <c r="C819" s="24"/>
      <c r="D819" s="24"/>
      <c r="U819" s="26"/>
      <c r="Z819" s="26"/>
    </row>
    <row r="820" customFormat="false" ht="15" hidden="false" customHeight="false" outlineLevel="0" collapsed="false">
      <c r="B820" s="24"/>
      <c r="C820" s="24"/>
      <c r="D820" s="24"/>
      <c r="U820" s="26"/>
      <c r="Z820" s="26"/>
    </row>
    <row r="821" customFormat="false" ht="15" hidden="false" customHeight="false" outlineLevel="0" collapsed="false">
      <c r="B821" s="24"/>
      <c r="C821" s="24"/>
      <c r="D821" s="24"/>
      <c r="U821" s="26"/>
      <c r="Z821" s="26"/>
    </row>
    <row r="822" customFormat="false" ht="15" hidden="false" customHeight="false" outlineLevel="0" collapsed="false">
      <c r="B822" s="24"/>
      <c r="C822" s="24"/>
      <c r="D822" s="24"/>
      <c r="U822" s="26"/>
      <c r="Z822" s="26"/>
    </row>
    <row r="823" customFormat="false" ht="15" hidden="false" customHeight="false" outlineLevel="0" collapsed="false">
      <c r="B823" s="24"/>
      <c r="C823" s="24"/>
      <c r="D823" s="24"/>
      <c r="U823" s="26"/>
      <c r="Z823" s="26"/>
    </row>
    <row r="824" customFormat="false" ht="15" hidden="false" customHeight="false" outlineLevel="0" collapsed="false">
      <c r="B824" s="24"/>
      <c r="C824" s="24"/>
      <c r="D824" s="24"/>
      <c r="U824" s="26"/>
      <c r="Z824" s="26"/>
    </row>
    <row r="825" customFormat="false" ht="15" hidden="false" customHeight="false" outlineLevel="0" collapsed="false">
      <c r="B825" s="24"/>
      <c r="C825" s="24"/>
      <c r="D825" s="24"/>
      <c r="U825" s="26"/>
      <c r="Z825" s="26"/>
    </row>
    <row r="826" customFormat="false" ht="15" hidden="false" customHeight="false" outlineLevel="0" collapsed="false">
      <c r="B826" s="24"/>
      <c r="C826" s="24"/>
      <c r="D826" s="24"/>
      <c r="U826" s="26"/>
      <c r="Z826" s="26"/>
    </row>
    <row r="827" customFormat="false" ht="15" hidden="false" customHeight="false" outlineLevel="0" collapsed="false">
      <c r="B827" s="24"/>
      <c r="C827" s="24"/>
      <c r="D827" s="24"/>
      <c r="U827" s="26"/>
      <c r="Z827" s="26"/>
    </row>
    <row r="828" customFormat="false" ht="15" hidden="false" customHeight="false" outlineLevel="0" collapsed="false">
      <c r="B828" s="24"/>
      <c r="C828" s="24"/>
      <c r="D828" s="24"/>
      <c r="U828" s="26"/>
      <c r="Z828" s="26"/>
    </row>
    <row r="829" customFormat="false" ht="15" hidden="false" customHeight="false" outlineLevel="0" collapsed="false">
      <c r="B829" s="24"/>
      <c r="C829" s="24"/>
      <c r="D829" s="24"/>
      <c r="U829" s="26"/>
      <c r="Z829" s="26"/>
    </row>
    <row r="830" customFormat="false" ht="15" hidden="false" customHeight="false" outlineLevel="0" collapsed="false">
      <c r="B830" s="24"/>
      <c r="C830" s="24"/>
      <c r="D830" s="24"/>
      <c r="U830" s="26"/>
      <c r="Z830" s="26"/>
    </row>
    <row r="831" customFormat="false" ht="15" hidden="false" customHeight="false" outlineLevel="0" collapsed="false">
      <c r="B831" s="24"/>
      <c r="C831" s="24"/>
      <c r="D831" s="24"/>
      <c r="U831" s="26"/>
      <c r="Z831" s="26"/>
    </row>
    <row r="832" customFormat="false" ht="15" hidden="false" customHeight="false" outlineLevel="0" collapsed="false">
      <c r="B832" s="24"/>
      <c r="C832" s="24"/>
      <c r="D832" s="24"/>
      <c r="U832" s="26"/>
      <c r="Z832" s="26"/>
    </row>
    <row r="833" customFormat="false" ht="15" hidden="false" customHeight="false" outlineLevel="0" collapsed="false">
      <c r="B833" s="24"/>
      <c r="C833" s="24"/>
      <c r="D833" s="24"/>
      <c r="U833" s="26"/>
      <c r="Z833" s="26"/>
    </row>
    <row r="834" customFormat="false" ht="15" hidden="false" customHeight="false" outlineLevel="0" collapsed="false">
      <c r="B834" s="24"/>
      <c r="C834" s="24"/>
      <c r="D834" s="24"/>
      <c r="U834" s="26"/>
      <c r="Z834" s="26"/>
    </row>
    <row r="835" customFormat="false" ht="15" hidden="false" customHeight="false" outlineLevel="0" collapsed="false">
      <c r="B835" s="24"/>
      <c r="C835" s="24"/>
      <c r="D835" s="24"/>
      <c r="U835" s="26"/>
      <c r="Z835" s="26"/>
    </row>
    <row r="836" customFormat="false" ht="15" hidden="false" customHeight="false" outlineLevel="0" collapsed="false">
      <c r="B836" s="24"/>
      <c r="C836" s="24"/>
      <c r="D836" s="24"/>
      <c r="U836" s="26"/>
      <c r="Z836" s="26"/>
    </row>
    <row r="837" customFormat="false" ht="15" hidden="false" customHeight="false" outlineLevel="0" collapsed="false">
      <c r="B837" s="24"/>
      <c r="C837" s="24"/>
      <c r="D837" s="24"/>
      <c r="U837" s="26"/>
      <c r="Z837" s="26"/>
    </row>
    <row r="838" customFormat="false" ht="15" hidden="false" customHeight="false" outlineLevel="0" collapsed="false">
      <c r="B838" s="24"/>
      <c r="C838" s="24"/>
      <c r="D838" s="24"/>
      <c r="U838" s="26"/>
      <c r="Z838" s="26"/>
    </row>
    <row r="839" customFormat="false" ht="15" hidden="false" customHeight="false" outlineLevel="0" collapsed="false">
      <c r="B839" s="24"/>
      <c r="C839" s="24"/>
      <c r="D839" s="24"/>
      <c r="U839" s="26"/>
      <c r="Z839" s="26"/>
    </row>
    <row r="840" customFormat="false" ht="15" hidden="false" customHeight="false" outlineLevel="0" collapsed="false">
      <c r="B840" s="24"/>
      <c r="C840" s="24"/>
      <c r="D840" s="24"/>
      <c r="U840" s="26"/>
      <c r="Z840" s="26"/>
    </row>
    <row r="841" customFormat="false" ht="15" hidden="false" customHeight="false" outlineLevel="0" collapsed="false">
      <c r="B841" s="24"/>
      <c r="C841" s="24"/>
      <c r="D841" s="24"/>
      <c r="U841" s="26"/>
      <c r="Z841" s="26"/>
    </row>
    <row r="842" customFormat="false" ht="15" hidden="false" customHeight="false" outlineLevel="0" collapsed="false">
      <c r="B842" s="24"/>
      <c r="C842" s="24"/>
      <c r="D842" s="24"/>
      <c r="U842" s="26"/>
      <c r="Z842" s="26"/>
    </row>
    <row r="843" customFormat="false" ht="15" hidden="false" customHeight="false" outlineLevel="0" collapsed="false">
      <c r="B843" s="24"/>
      <c r="C843" s="24"/>
      <c r="D843" s="24"/>
      <c r="U843" s="26"/>
      <c r="Z843" s="26"/>
    </row>
    <row r="844" customFormat="false" ht="15" hidden="false" customHeight="false" outlineLevel="0" collapsed="false">
      <c r="B844" s="24"/>
      <c r="C844" s="24"/>
      <c r="D844" s="24"/>
      <c r="U844" s="26"/>
      <c r="Z844" s="26"/>
    </row>
    <row r="845" customFormat="false" ht="15" hidden="false" customHeight="false" outlineLevel="0" collapsed="false">
      <c r="B845" s="24"/>
      <c r="C845" s="24"/>
      <c r="D845" s="24"/>
      <c r="U845" s="26"/>
      <c r="Z845" s="26"/>
    </row>
    <row r="846" customFormat="false" ht="15" hidden="false" customHeight="false" outlineLevel="0" collapsed="false">
      <c r="B846" s="24"/>
      <c r="C846" s="24"/>
      <c r="D846" s="24"/>
      <c r="U846" s="26"/>
      <c r="Z846" s="26"/>
    </row>
    <row r="847" customFormat="false" ht="15" hidden="false" customHeight="false" outlineLevel="0" collapsed="false">
      <c r="B847" s="24"/>
      <c r="C847" s="24"/>
      <c r="D847" s="24"/>
      <c r="U847" s="26"/>
      <c r="Z847" s="26"/>
    </row>
    <row r="848" customFormat="false" ht="15" hidden="false" customHeight="false" outlineLevel="0" collapsed="false">
      <c r="B848" s="24"/>
      <c r="C848" s="24"/>
      <c r="D848" s="24"/>
      <c r="U848" s="26"/>
      <c r="Z848" s="26"/>
    </row>
    <row r="849" customFormat="false" ht="15" hidden="false" customHeight="false" outlineLevel="0" collapsed="false">
      <c r="B849" s="24"/>
      <c r="C849" s="24"/>
      <c r="D849" s="24"/>
      <c r="U849" s="26"/>
      <c r="Z849" s="26"/>
    </row>
    <row r="850" customFormat="false" ht="15" hidden="false" customHeight="false" outlineLevel="0" collapsed="false">
      <c r="B850" s="24"/>
      <c r="C850" s="24"/>
      <c r="D850" s="24"/>
      <c r="U850" s="26"/>
      <c r="Z850" s="26"/>
    </row>
    <row r="851" customFormat="false" ht="15" hidden="false" customHeight="false" outlineLevel="0" collapsed="false">
      <c r="B851" s="24"/>
      <c r="C851" s="24"/>
      <c r="D851" s="24"/>
      <c r="U851" s="26"/>
      <c r="Z851" s="26"/>
    </row>
    <row r="852" customFormat="false" ht="15" hidden="false" customHeight="false" outlineLevel="0" collapsed="false">
      <c r="B852" s="24"/>
      <c r="C852" s="24"/>
      <c r="D852" s="24"/>
      <c r="U852" s="26"/>
      <c r="Z852" s="26"/>
    </row>
    <row r="853" customFormat="false" ht="15" hidden="false" customHeight="false" outlineLevel="0" collapsed="false">
      <c r="B853" s="24"/>
      <c r="C853" s="24"/>
      <c r="D853" s="24"/>
      <c r="U853" s="26"/>
      <c r="Z853" s="26"/>
    </row>
    <row r="854" customFormat="false" ht="15" hidden="false" customHeight="false" outlineLevel="0" collapsed="false">
      <c r="B854" s="24"/>
      <c r="C854" s="24"/>
      <c r="D854" s="24"/>
      <c r="U854" s="26"/>
      <c r="Z854" s="26"/>
    </row>
    <row r="855" customFormat="false" ht="15" hidden="false" customHeight="false" outlineLevel="0" collapsed="false">
      <c r="B855" s="24"/>
      <c r="C855" s="24"/>
      <c r="D855" s="24"/>
      <c r="U855" s="26"/>
      <c r="Z855" s="26"/>
    </row>
    <row r="856" customFormat="false" ht="15" hidden="false" customHeight="false" outlineLevel="0" collapsed="false">
      <c r="B856" s="24"/>
      <c r="C856" s="24"/>
      <c r="D856" s="24"/>
      <c r="U856" s="26"/>
      <c r="Z856" s="26"/>
    </row>
    <row r="857" customFormat="false" ht="15" hidden="false" customHeight="false" outlineLevel="0" collapsed="false">
      <c r="B857" s="24"/>
      <c r="C857" s="24"/>
      <c r="D857" s="24"/>
      <c r="U857" s="26"/>
      <c r="Z857" s="26"/>
    </row>
    <row r="858" customFormat="false" ht="15" hidden="false" customHeight="false" outlineLevel="0" collapsed="false">
      <c r="B858" s="24"/>
      <c r="C858" s="24"/>
      <c r="D858" s="24"/>
      <c r="U858" s="26"/>
      <c r="Z858" s="26"/>
    </row>
    <row r="859" customFormat="false" ht="15" hidden="false" customHeight="false" outlineLevel="0" collapsed="false">
      <c r="B859" s="24"/>
      <c r="C859" s="24"/>
      <c r="D859" s="24"/>
      <c r="U859" s="26"/>
      <c r="Z859" s="26"/>
    </row>
    <row r="860" customFormat="false" ht="15" hidden="false" customHeight="false" outlineLevel="0" collapsed="false">
      <c r="B860" s="24"/>
      <c r="C860" s="24"/>
      <c r="D860" s="24"/>
      <c r="U860" s="26"/>
      <c r="Z860" s="26"/>
    </row>
    <row r="861" customFormat="false" ht="15" hidden="false" customHeight="false" outlineLevel="0" collapsed="false">
      <c r="B861" s="24"/>
      <c r="C861" s="24"/>
      <c r="D861" s="24"/>
      <c r="U861" s="26"/>
      <c r="Z861" s="26"/>
    </row>
    <row r="862" customFormat="false" ht="15" hidden="false" customHeight="false" outlineLevel="0" collapsed="false">
      <c r="B862" s="24"/>
      <c r="C862" s="24"/>
      <c r="D862" s="24"/>
      <c r="U862" s="26"/>
      <c r="Z862" s="26"/>
    </row>
    <row r="863" customFormat="false" ht="15" hidden="false" customHeight="false" outlineLevel="0" collapsed="false">
      <c r="B863" s="24"/>
      <c r="C863" s="24"/>
      <c r="D863" s="24"/>
      <c r="U863" s="26"/>
      <c r="Z863" s="26"/>
    </row>
    <row r="864" customFormat="false" ht="15" hidden="false" customHeight="false" outlineLevel="0" collapsed="false">
      <c r="B864" s="24"/>
      <c r="C864" s="24"/>
      <c r="D864" s="24"/>
      <c r="U864" s="26"/>
      <c r="Z864" s="26"/>
    </row>
    <row r="865" customFormat="false" ht="15" hidden="false" customHeight="false" outlineLevel="0" collapsed="false">
      <c r="B865" s="24"/>
      <c r="C865" s="24"/>
      <c r="D865" s="24"/>
      <c r="U865" s="26"/>
      <c r="Z865" s="26"/>
    </row>
    <row r="866" customFormat="false" ht="15" hidden="false" customHeight="false" outlineLevel="0" collapsed="false">
      <c r="B866" s="24"/>
      <c r="C866" s="24"/>
      <c r="D866" s="24"/>
      <c r="U866" s="26"/>
      <c r="Z866" s="26"/>
    </row>
    <row r="867" customFormat="false" ht="15" hidden="false" customHeight="false" outlineLevel="0" collapsed="false">
      <c r="B867" s="24"/>
      <c r="C867" s="24"/>
      <c r="D867" s="24"/>
      <c r="U867" s="26"/>
      <c r="Z867" s="26"/>
    </row>
    <row r="868" customFormat="false" ht="15" hidden="false" customHeight="false" outlineLevel="0" collapsed="false">
      <c r="B868" s="24"/>
      <c r="C868" s="24"/>
      <c r="D868" s="24"/>
      <c r="U868" s="26"/>
      <c r="Z868" s="26"/>
    </row>
    <row r="869" customFormat="false" ht="15" hidden="false" customHeight="false" outlineLevel="0" collapsed="false">
      <c r="B869" s="24"/>
      <c r="C869" s="24"/>
      <c r="D869" s="24"/>
      <c r="U869" s="26"/>
      <c r="Z869" s="26"/>
    </row>
    <row r="870" customFormat="false" ht="15" hidden="false" customHeight="false" outlineLevel="0" collapsed="false">
      <c r="B870" s="24"/>
      <c r="C870" s="24"/>
      <c r="D870" s="24"/>
      <c r="U870" s="26"/>
      <c r="Z870" s="26"/>
    </row>
    <row r="871" customFormat="false" ht="15" hidden="false" customHeight="false" outlineLevel="0" collapsed="false">
      <c r="B871" s="24"/>
      <c r="C871" s="24"/>
      <c r="D871" s="24"/>
      <c r="U871" s="26"/>
      <c r="Z871" s="26"/>
    </row>
    <row r="872" customFormat="false" ht="15" hidden="false" customHeight="false" outlineLevel="0" collapsed="false">
      <c r="B872" s="24"/>
      <c r="C872" s="24"/>
      <c r="D872" s="24"/>
      <c r="U872" s="26"/>
      <c r="Z872" s="26"/>
    </row>
    <row r="873" customFormat="false" ht="15" hidden="false" customHeight="false" outlineLevel="0" collapsed="false">
      <c r="B873" s="24"/>
      <c r="C873" s="24"/>
      <c r="D873" s="24"/>
      <c r="U873" s="26"/>
      <c r="Z873" s="26"/>
    </row>
    <row r="874" customFormat="false" ht="15" hidden="false" customHeight="false" outlineLevel="0" collapsed="false">
      <c r="B874" s="24"/>
      <c r="C874" s="24"/>
      <c r="D874" s="24"/>
      <c r="U874" s="26"/>
      <c r="Z874" s="26"/>
    </row>
    <row r="875" customFormat="false" ht="15" hidden="false" customHeight="false" outlineLevel="0" collapsed="false">
      <c r="B875" s="24"/>
      <c r="C875" s="24"/>
      <c r="D875" s="24"/>
      <c r="U875" s="26"/>
      <c r="Z875" s="26"/>
    </row>
    <row r="876" customFormat="false" ht="15" hidden="false" customHeight="false" outlineLevel="0" collapsed="false">
      <c r="B876" s="24"/>
      <c r="C876" s="24"/>
      <c r="D876" s="24"/>
      <c r="U876" s="26"/>
      <c r="Z876" s="26"/>
    </row>
    <row r="877" customFormat="false" ht="15" hidden="false" customHeight="false" outlineLevel="0" collapsed="false">
      <c r="B877" s="24"/>
      <c r="C877" s="24"/>
      <c r="D877" s="24"/>
      <c r="U877" s="26"/>
      <c r="Z877" s="26"/>
    </row>
    <row r="878" customFormat="false" ht="15" hidden="false" customHeight="false" outlineLevel="0" collapsed="false">
      <c r="B878" s="24"/>
      <c r="C878" s="24"/>
      <c r="D878" s="24"/>
      <c r="U878" s="26"/>
      <c r="Z878" s="26"/>
    </row>
    <row r="879" customFormat="false" ht="15" hidden="false" customHeight="false" outlineLevel="0" collapsed="false">
      <c r="B879" s="24"/>
      <c r="C879" s="24"/>
      <c r="D879" s="24"/>
      <c r="U879" s="26"/>
      <c r="Z879" s="26"/>
    </row>
    <row r="880" customFormat="false" ht="15" hidden="false" customHeight="false" outlineLevel="0" collapsed="false">
      <c r="B880" s="24"/>
      <c r="C880" s="24"/>
      <c r="D880" s="24"/>
      <c r="U880" s="26"/>
      <c r="Z880" s="26"/>
    </row>
    <row r="881" customFormat="false" ht="15" hidden="false" customHeight="false" outlineLevel="0" collapsed="false">
      <c r="B881" s="24"/>
      <c r="C881" s="24"/>
      <c r="D881" s="24"/>
      <c r="U881" s="26"/>
      <c r="Z881" s="26"/>
    </row>
    <row r="882" customFormat="false" ht="15" hidden="false" customHeight="false" outlineLevel="0" collapsed="false">
      <c r="B882" s="24"/>
      <c r="C882" s="24"/>
      <c r="D882" s="24"/>
      <c r="U882" s="26"/>
      <c r="Z882" s="26"/>
    </row>
    <row r="883" customFormat="false" ht="15" hidden="false" customHeight="false" outlineLevel="0" collapsed="false">
      <c r="B883" s="24"/>
      <c r="C883" s="24"/>
      <c r="D883" s="24"/>
      <c r="U883" s="26"/>
      <c r="Z883" s="26"/>
    </row>
    <row r="884" customFormat="false" ht="15" hidden="false" customHeight="false" outlineLevel="0" collapsed="false">
      <c r="B884" s="24"/>
      <c r="C884" s="24"/>
      <c r="D884" s="24"/>
      <c r="U884" s="26"/>
      <c r="Z884" s="26"/>
    </row>
    <row r="885" customFormat="false" ht="15" hidden="false" customHeight="false" outlineLevel="0" collapsed="false">
      <c r="B885" s="24"/>
      <c r="C885" s="24"/>
      <c r="D885" s="24"/>
      <c r="U885" s="26"/>
      <c r="Z885" s="26"/>
    </row>
    <row r="886" customFormat="false" ht="15" hidden="false" customHeight="false" outlineLevel="0" collapsed="false">
      <c r="B886" s="24"/>
      <c r="C886" s="24"/>
      <c r="D886" s="24"/>
      <c r="U886" s="26"/>
      <c r="Z886" s="26"/>
    </row>
    <row r="887" customFormat="false" ht="15" hidden="false" customHeight="false" outlineLevel="0" collapsed="false">
      <c r="B887" s="24"/>
      <c r="C887" s="24"/>
      <c r="D887" s="24"/>
      <c r="U887" s="26"/>
      <c r="Z887" s="26"/>
    </row>
    <row r="888" customFormat="false" ht="15" hidden="false" customHeight="false" outlineLevel="0" collapsed="false">
      <c r="B888" s="24"/>
      <c r="C888" s="24"/>
      <c r="D888" s="24"/>
      <c r="U888" s="26"/>
      <c r="Z888" s="26"/>
    </row>
    <row r="889" customFormat="false" ht="15" hidden="false" customHeight="false" outlineLevel="0" collapsed="false">
      <c r="B889" s="24"/>
      <c r="C889" s="24"/>
      <c r="D889" s="24"/>
      <c r="U889" s="26"/>
      <c r="Z889" s="26"/>
    </row>
    <row r="890" customFormat="false" ht="15" hidden="false" customHeight="false" outlineLevel="0" collapsed="false">
      <c r="B890" s="24"/>
      <c r="C890" s="24"/>
      <c r="D890" s="24"/>
      <c r="U890" s="26"/>
      <c r="Z890" s="26"/>
    </row>
    <row r="891" customFormat="false" ht="15" hidden="false" customHeight="false" outlineLevel="0" collapsed="false">
      <c r="B891" s="24"/>
      <c r="C891" s="24"/>
      <c r="D891" s="24"/>
      <c r="U891" s="26"/>
      <c r="Z891" s="26"/>
    </row>
    <row r="892" customFormat="false" ht="15" hidden="false" customHeight="false" outlineLevel="0" collapsed="false">
      <c r="B892" s="24"/>
      <c r="C892" s="24"/>
      <c r="D892" s="24"/>
      <c r="U892" s="26"/>
      <c r="Z892" s="26"/>
    </row>
    <row r="893" customFormat="false" ht="15" hidden="false" customHeight="false" outlineLevel="0" collapsed="false">
      <c r="B893" s="24"/>
      <c r="C893" s="24"/>
      <c r="D893" s="24"/>
      <c r="U893" s="26"/>
      <c r="Z893" s="26"/>
    </row>
    <row r="894" customFormat="false" ht="15" hidden="false" customHeight="false" outlineLevel="0" collapsed="false">
      <c r="B894" s="24"/>
      <c r="C894" s="24"/>
      <c r="D894" s="24"/>
      <c r="U894" s="26"/>
      <c r="Z894" s="26"/>
    </row>
    <row r="895" customFormat="false" ht="15" hidden="false" customHeight="false" outlineLevel="0" collapsed="false">
      <c r="B895" s="24"/>
      <c r="C895" s="24"/>
      <c r="D895" s="24"/>
      <c r="U895" s="26"/>
      <c r="Z895" s="26"/>
    </row>
    <row r="896" customFormat="false" ht="15" hidden="false" customHeight="false" outlineLevel="0" collapsed="false">
      <c r="B896" s="24"/>
      <c r="C896" s="24"/>
      <c r="D896" s="24"/>
      <c r="U896" s="26"/>
      <c r="Z896" s="26"/>
    </row>
    <row r="897" customFormat="false" ht="15" hidden="false" customHeight="false" outlineLevel="0" collapsed="false">
      <c r="B897" s="24"/>
      <c r="C897" s="24"/>
      <c r="D897" s="24"/>
      <c r="U897" s="26"/>
      <c r="Z897" s="26"/>
    </row>
    <row r="898" customFormat="false" ht="15" hidden="false" customHeight="false" outlineLevel="0" collapsed="false">
      <c r="B898" s="24"/>
      <c r="C898" s="24"/>
      <c r="D898" s="24"/>
      <c r="U898" s="26"/>
      <c r="Z898" s="26"/>
    </row>
    <row r="899" customFormat="false" ht="15" hidden="false" customHeight="false" outlineLevel="0" collapsed="false">
      <c r="B899" s="24"/>
      <c r="C899" s="24"/>
      <c r="D899" s="24"/>
      <c r="U899" s="26"/>
      <c r="Z899" s="26"/>
    </row>
    <row r="900" customFormat="false" ht="15" hidden="false" customHeight="false" outlineLevel="0" collapsed="false">
      <c r="B900" s="24"/>
      <c r="C900" s="24"/>
      <c r="D900" s="24"/>
      <c r="U900" s="26"/>
      <c r="Z900" s="26"/>
    </row>
    <row r="901" customFormat="false" ht="15" hidden="false" customHeight="false" outlineLevel="0" collapsed="false">
      <c r="B901" s="24"/>
      <c r="C901" s="24"/>
      <c r="D901" s="24"/>
      <c r="U901" s="26"/>
      <c r="Z901" s="26"/>
    </row>
    <row r="902" customFormat="false" ht="15" hidden="false" customHeight="false" outlineLevel="0" collapsed="false">
      <c r="B902" s="24"/>
      <c r="C902" s="24"/>
      <c r="D902" s="24"/>
      <c r="U902" s="26"/>
      <c r="Z902" s="26"/>
    </row>
    <row r="903" customFormat="false" ht="15" hidden="false" customHeight="false" outlineLevel="0" collapsed="false">
      <c r="B903" s="24"/>
      <c r="C903" s="24"/>
      <c r="D903" s="24"/>
      <c r="U903" s="26"/>
      <c r="Z903" s="26"/>
    </row>
    <row r="904" customFormat="false" ht="15" hidden="false" customHeight="false" outlineLevel="0" collapsed="false">
      <c r="B904" s="24"/>
      <c r="C904" s="24"/>
      <c r="D904" s="24"/>
      <c r="U904" s="26"/>
      <c r="Z904" s="26"/>
    </row>
    <row r="905" customFormat="false" ht="15" hidden="false" customHeight="false" outlineLevel="0" collapsed="false">
      <c r="B905" s="24"/>
      <c r="C905" s="24"/>
      <c r="D905" s="24"/>
      <c r="U905" s="26"/>
      <c r="Z905" s="26"/>
    </row>
    <row r="906" customFormat="false" ht="15" hidden="false" customHeight="false" outlineLevel="0" collapsed="false">
      <c r="B906" s="24"/>
      <c r="C906" s="24"/>
      <c r="D906" s="24"/>
      <c r="U906" s="26"/>
      <c r="Z906" s="26"/>
    </row>
    <row r="907" customFormat="false" ht="15" hidden="false" customHeight="false" outlineLevel="0" collapsed="false">
      <c r="B907" s="24"/>
      <c r="C907" s="24"/>
      <c r="D907" s="24"/>
      <c r="U907" s="26"/>
      <c r="Z907" s="26"/>
    </row>
    <row r="908" customFormat="false" ht="15" hidden="false" customHeight="false" outlineLevel="0" collapsed="false">
      <c r="B908" s="24"/>
      <c r="C908" s="24"/>
      <c r="D908" s="24"/>
      <c r="U908" s="26"/>
      <c r="Z908" s="26"/>
    </row>
    <row r="909" customFormat="false" ht="15" hidden="false" customHeight="false" outlineLevel="0" collapsed="false">
      <c r="B909" s="24"/>
      <c r="C909" s="24"/>
      <c r="D909" s="24"/>
      <c r="U909" s="26"/>
      <c r="Z909" s="26"/>
    </row>
    <row r="910" customFormat="false" ht="15" hidden="false" customHeight="false" outlineLevel="0" collapsed="false">
      <c r="B910" s="24"/>
      <c r="C910" s="24"/>
      <c r="D910" s="24"/>
      <c r="U910" s="26"/>
      <c r="Z910" s="26"/>
    </row>
    <row r="911" customFormat="false" ht="15" hidden="false" customHeight="false" outlineLevel="0" collapsed="false">
      <c r="B911" s="24"/>
      <c r="C911" s="24"/>
      <c r="D911" s="24"/>
      <c r="U911" s="26"/>
      <c r="Z911" s="26"/>
    </row>
    <row r="912" customFormat="false" ht="15" hidden="false" customHeight="false" outlineLevel="0" collapsed="false">
      <c r="B912" s="24"/>
      <c r="C912" s="24"/>
      <c r="D912" s="24"/>
      <c r="U912" s="26"/>
      <c r="Z912" s="26"/>
    </row>
    <row r="913" customFormat="false" ht="15" hidden="false" customHeight="false" outlineLevel="0" collapsed="false">
      <c r="B913" s="24"/>
      <c r="C913" s="24"/>
      <c r="D913" s="24"/>
      <c r="U913" s="26"/>
      <c r="Z913" s="26"/>
    </row>
    <row r="914" customFormat="false" ht="15" hidden="false" customHeight="false" outlineLevel="0" collapsed="false">
      <c r="B914" s="24"/>
      <c r="C914" s="24"/>
      <c r="D914" s="24"/>
      <c r="U914" s="26"/>
      <c r="Z914" s="26"/>
    </row>
    <row r="915" customFormat="false" ht="15" hidden="false" customHeight="false" outlineLevel="0" collapsed="false">
      <c r="B915" s="24"/>
      <c r="C915" s="24"/>
      <c r="D915" s="24"/>
      <c r="U915" s="26"/>
      <c r="Z915" s="26"/>
    </row>
    <row r="916" customFormat="false" ht="15" hidden="false" customHeight="false" outlineLevel="0" collapsed="false">
      <c r="B916" s="24"/>
      <c r="C916" s="24"/>
      <c r="D916" s="24"/>
      <c r="U916" s="26"/>
      <c r="Z916" s="26"/>
    </row>
    <row r="917" customFormat="false" ht="15" hidden="false" customHeight="false" outlineLevel="0" collapsed="false">
      <c r="B917" s="24"/>
      <c r="C917" s="24"/>
      <c r="D917" s="24"/>
      <c r="U917" s="26"/>
      <c r="Z917" s="26"/>
    </row>
    <row r="918" customFormat="false" ht="15" hidden="false" customHeight="false" outlineLevel="0" collapsed="false">
      <c r="B918" s="24"/>
      <c r="C918" s="24"/>
      <c r="D918" s="24"/>
      <c r="U918" s="26"/>
      <c r="Z918" s="26"/>
    </row>
    <row r="919" customFormat="false" ht="15" hidden="false" customHeight="false" outlineLevel="0" collapsed="false">
      <c r="B919" s="24"/>
      <c r="C919" s="24"/>
      <c r="D919" s="24"/>
      <c r="U919" s="26"/>
      <c r="Z919" s="26"/>
    </row>
    <row r="920" customFormat="false" ht="15" hidden="false" customHeight="false" outlineLevel="0" collapsed="false">
      <c r="B920" s="24"/>
      <c r="C920" s="24"/>
      <c r="D920" s="24"/>
      <c r="U920" s="26"/>
      <c r="Z920" s="26"/>
    </row>
    <row r="921" customFormat="false" ht="15" hidden="false" customHeight="false" outlineLevel="0" collapsed="false">
      <c r="B921" s="24"/>
      <c r="C921" s="24"/>
      <c r="D921" s="24"/>
      <c r="U921" s="26"/>
      <c r="Z921" s="26"/>
    </row>
    <row r="922" customFormat="false" ht="15" hidden="false" customHeight="false" outlineLevel="0" collapsed="false">
      <c r="B922" s="24"/>
      <c r="C922" s="24"/>
      <c r="D922" s="24"/>
      <c r="U922" s="26"/>
      <c r="Z922" s="26"/>
    </row>
    <row r="923" customFormat="false" ht="15" hidden="false" customHeight="false" outlineLevel="0" collapsed="false">
      <c r="B923" s="24"/>
      <c r="C923" s="24"/>
      <c r="D923" s="24"/>
      <c r="U923" s="26"/>
      <c r="Z923" s="26"/>
    </row>
    <row r="924" customFormat="false" ht="15" hidden="false" customHeight="false" outlineLevel="0" collapsed="false">
      <c r="B924" s="24"/>
      <c r="C924" s="24"/>
      <c r="D924" s="24"/>
      <c r="U924" s="26"/>
      <c r="Z924" s="26"/>
    </row>
    <row r="925" customFormat="false" ht="15" hidden="false" customHeight="false" outlineLevel="0" collapsed="false">
      <c r="B925" s="24"/>
      <c r="C925" s="24"/>
      <c r="D925" s="24"/>
      <c r="U925" s="26"/>
      <c r="Z925" s="26"/>
    </row>
    <row r="926" customFormat="false" ht="15" hidden="false" customHeight="false" outlineLevel="0" collapsed="false">
      <c r="B926" s="24"/>
      <c r="C926" s="24"/>
      <c r="D926" s="24"/>
      <c r="U926" s="26"/>
      <c r="Z926" s="26"/>
    </row>
    <row r="927" customFormat="false" ht="15" hidden="false" customHeight="false" outlineLevel="0" collapsed="false">
      <c r="B927" s="24"/>
      <c r="C927" s="24"/>
      <c r="D927" s="24"/>
      <c r="U927" s="26"/>
      <c r="Z927" s="26"/>
    </row>
    <row r="928" customFormat="false" ht="15" hidden="false" customHeight="false" outlineLevel="0" collapsed="false">
      <c r="B928" s="24"/>
      <c r="C928" s="24"/>
      <c r="D928" s="24"/>
      <c r="U928" s="26"/>
      <c r="Z928" s="26"/>
    </row>
    <row r="929" customFormat="false" ht="15" hidden="false" customHeight="false" outlineLevel="0" collapsed="false">
      <c r="B929" s="24"/>
      <c r="C929" s="24"/>
      <c r="D929" s="24"/>
      <c r="U929" s="26"/>
      <c r="Z929" s="26"/>
    </row>
    <row r="930" customFormat="false" ht="15" hidden="false" customHeight="false" outlineLevel="0" collapsed="false">
      <c r="B930" s="24"/>
      <c r="C930" s="24"/>
      <c r="D930" s="24"/>
      <c r="U930" s="26"/>
      <c r="Z930" s="26"/>
    </row>
    <row r="931" customFormat="false" ht="15" hidden="false" customHeight="false" outlineLevel="0" collapsed="false">
      <c r="B931" s="24"/>
      <c r="C931" s="24"/>
      <c r="D931" s="24"/>
      <c r="U931" s="26"/>
      <c r="Z931" s="26"/>
    </row>
    <row r="932" customFormat="false" ht="15" hidden="false" customHeight="false" outlineLevel="0" collapsed="false">
      <c r="B932" s="24"/>
      <c r="C932" s="24"/>
      <c r="D932" s="24"/>
      <c r="U932" s="26"/>
      <c r="Z932" s="26"/>
    </row>
    <row r="933" customFormat="false" ht="15" hidden="false" customHeight="false" outlineLevel="0" collapsed="false">
      <c r="B933" s="24"/>
      <c r="C933" s="24"/>
      <c r="D933" s="24"/>
      <c r="U933" s="26"/>
      <c r="Z933" s="26"/>
    </row>
    <row r="934" customFormat="false" ht="15" hidden="false" customHeight="false" outlineLevel="0" collapsed="false">
      <c r="B934" s="24"/>
      <c r="C934" s="24"/>
      <c r="D934" s="24"/>
      <c r="U934" s="26"/>
      <c r="Z934" s="26"/>
    </row>
    <row r="935" customFormat="false" ht="15" hidden="false" customHeight="false" outlineLevel="0" collapsed="false">
      <c r="B935" s="24"/>
      <c r="C935" s="24"/>
      <c r="D935" s="24"/>
      <c r="U935" s="26"/>
      <c r="Z935" s="26"/>
    </row>
    <row r="936" customFormat="false" ht="15" hidden="false" customHeight="false" outlineLevel="0" collapsed="false">
      <c r="B936" s="24"/>
      <c r="C936" s="24"/>
      <c r="D936" s="24"/>
      <c r="U936" s="26"/>
      <c r="Z936" s="26"/>
    </row>
    <row r="937" customFormat="false" ht="15" hidden="false" customHeight="false" outlineLevel="0" collapsed="false">
      <c r="B937" s="24"/>
      <c r="C937" s="24"/>
      <c r="D937" s="24"/>
      <c r="U937" s="26"/>
      <c r="Z937" s="26"/>
    </row>
    <row r="938" customFormat="false" ht="15" hidden="false" customHeight="false" outlineLevel="0" collapsed="false">
      <c r="B938" s="24"/>
      <c r="C938" s="24"/>
      <c r="D938" s="24"/>
      <c r="U938" s="26"/>
      <c r="Z938" s="26"/>
    </row>
    <row r="939" customFormat="false" ht="15" hidden="false" customHeight="false" outlineLevel="0" collapsed="false">
      <c r="B939" s="24"/>
      <c r="C939" s="24"/>
      <c r="D939" s="24"/>
      <c r="U939" s="26"/>
      <c r="Z939" s="26"/>
    </row>
    <row r="940" customFormat="false" ht="15" hidden="false" customHeight="false" outlineLevel="0" collapsed="false">
      <c r="B940" s="24"/>
      <c r="C940" s="24"/>
      <c r="D940" s="24"/>
      <c r="U940" s="26"/>
      <c r="Z940" s="26"/>
    </row>
    <row r="941" customFormat="false" ht="15" hidden="false" customHeight="false" outlineLevel="0" collapsed="false">
      <c r="B941" s="24"/>
      <c r="C941" s="24"/>
      <c r="D941" s="24"/>
      <c r="U941" s="26"/>
      <c r="Z941" s="26"/>
    </row>
    <row r="942" customFormat="false" ht="15" hidden="false" customHeight="false" outlineLevel="0" collapsed="false">
      <c r="B942" s="24"/>
      <c r="C942" s="24"/>
      <c r="D942" s="24"/>
      <c r="U942" s="26"/>
      <c r="Z942" s="26"/>
    </row>
    <row r="943" customFormat="false" ht="15" hidden="false" customHeight="false" outlineLevel="0" collapsed="false">
      <c r="B943" s="24"/>
      <c r="C943" s="24"/>
      <c r="D943" s="24"/>
      <c r="U943" s="26"/>
      <c r="Z943" s="26"/>
    </row>
    <row r="944" customFormat="false" ht="15" hidden="false" customHeight="false" outlineLevel="0" collapsed="false">
      <c r="B944" s="24"/>
      <c r="C944" s="24"/>
      <c r="D944" s="24"/>
      <c r="U944" s="26"/>
      <c r="Z944" s="26"/>
    </row>
    <row r="945" customFormat="false" ht="15" hidden="false" customHeight="false" outlineLevel="0" collapsed="false">
      <c r="B945" s="24"/>
      <c r="C945" s="24"/>
      <c r="D945" s="24"/>
      <c r="U945" s="26"/>
      <c r="Z945" s="26"/>
    </row>
    <row r="946" customFormat="false" ht="15" hidden="false" customHeight="false" outlineLevel="0" collapsed="false">
      <c r="B946" s="24"/>
      <c r="C946" s="24"/>
      <c r="D946" s="24"/>
      <c r="U946" s="26"/>
      <c r="Z946" s="26"/>
    </row>
    <row r="947" customFormat="false" ht="15" hidden="false" customHeight="false" outlineLevel="0" collapsed="false">
      <c r="B947" s="24"/>
      <c r="C947" s="24"/>
      <c r="D947" s="24"/>
      <c r="U947" s="26"/>
      <c r="Z947" s="26"/>
    </row>
    <row r="948" customFormat="false" ht="15" hidden="false" customHeight="false" outlineLevel="0" collapsed="false">
      <c r="B948" s="24"/>
      <c r="C948" s="24"/>
      <c r="D948" s="24"/>
      <c r="U948" s="26"/>
      <c r="Z948" s="26"/>
    </row>
    <row r="949" customFormat="false" ht="15" hidden="false" customHeight="false" outlineLevel="0" collapsed="false">
      <c r="B949" s="24"/>
      <c r="C949" s="24"/>
      <c r="D949" s="24"/>
      <c r="U949" s="26"/>
      <c r="Z949" s="26"/>
    </row>
    <row r="950" customFormat="false" ht="15" hidden="false" customHeight="false" outlineLevel="0" collapsed="false">
      <c r="B950" s="24"/>
      <c r="C950" s="24"/>
      <c r="D950" s="24"/>
      <c r="U950" s="26"/>
      <c r="Z950" s="26"/>
    </row>
    <row r="951" customFormat="false" ht="15" hidden="false" customHeight="false" outlineLevel="0" collapsed="false">
      <c r="B951" s="24"/>
      <c r="C951" s="24"/>
      <c r="D951" s="24"/>
      <c r="U951" s="26"/>
      <c r="Z951" s="26"/>
    </row>
    <row r="952" customFormat="false" ht="15" hidden="false" customHeight="false" outlineLevel="0" collapsed="false">
      <c r="B952" s="24"/>
      <c r="C952" s="24"/>
      <c r="D952" s="24"/>
      <c r="U952" s="26"/>
      <c r="Z952" s="26"/>
    </row>
    <row r="953" customFormat="false" ht="15" hidden="false" customHeight="false" outlineLevel="0" collapsed="false">
      <c r="B953" s="24"/>
      <c r="C953" s="24"/>
      <c r="D953" s="24"/>
      <c r="U953" s="26"/>
      <c r="Z953" s="26"/>
    </row>
    <row r="954" customFormat="false" ht="15" hidden="false" customHeight="false" outlineLevel="0" collapsed="false">
      <c r="B954" s="24"/>
      <c r="C954" s="24"/>
      <c r="D954" s="24"/>
      <c r="U954" s="26"/>
      <c r="Z954" s="26"/>
    </row>
    <row r="955" customFormat="false" ht="15" hidden="false" customHeight="false" outlineLevel="0" collapsed="false">
      <c r="B955" s="24"/>
      <c r="C955" s="24"/>
      <c r="D955" s="24"/>
      <c r="U955" s="26"/>
      <c r="Z955" s="26"/>
    </row>
    <row r="956" customFormat="false" ht="15" hidden="false" customHeight="false" outlineLevel="0" collapsed="false">
      <c r="B956" s="24"/>
      <c r="C956" s="24"/>
      <c r="D956" s="24"/>
      <c r="U956" s="26"/>
      <c r="Z956" s="26"/>
    </row>
    <row r="957" customFormat="false" ht="15" hidden="false" customHeight="false" outlineLevel="0" collapsed="false">
      <c r="B957" s="24"/>
      <c r="C957" s="24"/>
      <c r="D957" s="24"/>
      <c r="U957" s="26"/>
      <c r="Z957" s="26"/>
    </row>
    <row r="958" customFormat="false" ht="15" hidden="false" customHeight="false" outlineLevel="0" collapsed="false">
      <c r="B958" s="24"/>
      <c r="C958" s="24"/>
      <c r="D958" s="24"/>
      <c r="U958" s="26"/>
      <c r="Z958" s="26"/>
    </row>
    <row r="959" customFormat="false" ht="15" hidden="false" customHeight="false" outlineLevel="0" collapsed="false">
      <c r="B959" s="24"/>
      <c r="C959" s="24"/>
      <c r="D959" s="24"/>
      <c r="U959" s="26"/>
      <c r="Z959" s="26"/>
    </row>
    <row r="960" customFormat="false" ht="15" hidden="false" customHeight="false" outlineLevel="0" collapsed="false">
      <c r="B960" s="24"/>
      <c r="C960" s="24"/>
      <c r="D960" s="24"/>
      <c r="U960" s="26"/>
      <c r="Z960" s="26"/>
    </row>
    <row r="961" customFormat="false" ht="15" hidden="false" customHeight="false" outlineLevel="0" collapsed="false">
      <c r="B961" s="24"/>
      <c r="C961" s="24"/>
      <c r="D961" s="24"/>
      <c r="U961" s="26"/>
      <c r="Z961" s="26"/>
    </row>
    <row r="962" customFormat="false" ht="15" hidden="false" customHeight="false" outlineLevel="0" collapsed="false">
      <c r="B962" s="24"/>
      <c r="C962" s="24"/>
      <c r="D962" s="24"/>
      <c r="U962" s="26"/>
      <c r="Z962" s="26"/>
    </row>
    <row r="963" customFormat="false" ht="15" hidden="false" customHeight="false" outlineLevel="0" collapsed="false">
      <c r="B963" s="24"/>
      <c r="C963" s="24"/>
      <c r="D963" s="24"/>
      <c r="U963" s="26"/>
      <c r="Z963" s="26"/>
    </row>
    <row r="964" customFormat="false" ht="15" hidden="false" customHeight="false" outlineLevel="0" collapsed="false">
      <c r="B964" s="24"/>
      <c r="C964" s="24"/>
      <c r="D964" s="24"/>
      <c r="U964" s="26"/>
      <c r="Z964" s="26"/>
    </row>
    <row r="965" customFormat="false" ht="15" hidden="false" customHeight="false" outlineLevel="0" collapsed="false">
      <c r="B965" s="24"/>
      <c r="C965" s="24"/>
      <c r="D965" s="24"/>
      <c r="U965" s="26"/>
      <c r="Z965" s="26"/>
    </row>
    <row r="966" customFormat="false" ht="15" hidden="false" customHeight="false" outlineLevel="0" collapsed="false">
      <c r="B966" s="24"/>
      <c r="C966" s="24"/>
      <c r="D966" s="24"/>
      <c r="U966" s="26"/>
      <c r="Z966" s="26"/>
    </row>
    <row r="967" customFormat="false" ht="15" hidden="false" customHeight="false" outlineLevel="0" collapsed="false">
      <c r="B967" s="24"/>
      <c r="C967" s="24"/>
      <c r="D967" s="24"/>
      <c r="U967" s="26"/>
      <c r="Z967" s="26"/>
    </row>
    <row r="968" customFormat="false" ht="15" hidden="false" customHeight="false" outlineLevel="0" collapsed="false">
      <c r="B968" s="24"/>
      <c r="C968" s="24"/>
      <c r="D968" s="24"/>
      <c r="U968" s="26"/>
      <c r="Z968" s="26"/>
    </row>
    <row r="969" customFormat="false" ht="15" hidden="false" customHeight="false" outlineLevel="0" collapsed="false">
      <c r="B969" s="24"/>
      <c r="C969" s="24"/>
      <c r="D969" s="24"/>
      <c r="U969" s="26"/>
      <c r="Z969" s="26"/>
    </row>
    <row r="970" customFormat="false" ht="15" hidden="false" customHeight="false" outlineLevel="0" collapsed="false">
      <c r="B970" s="24"/>
      <c r="C970" s="24"/>
      <c r="D970" s="24"/>
      <c r="U970" s="26"/>
      <c r="Z970" s="26"/>
    </row>
    <row r="971" customFormat="false" ht="15" hidden="false" customHeight="false" outlineLevel="0" collapsed="false">
      <c r="B971" s="24"/>
      <c r="C971" s="24"/>
      <c r="D971" s="24"/>
      <c r="U971" s="26"/>
      <c r="Z971" s="26"/>
    </row>
    <row r="972" customFormat="false" ht="15" hidden="false" customHeight="false" outlineLevel="0" collapsed="false">
      <c r="B972" s="24"/>
      <c r="C972" s="24"/>
      <c r="D972" s="24"/>
      <c r="U972" s="26"/>
      <c r="Z972" s="26"/>
    </row>
    <row r="973" customFormat="false" ht="15" hidden="false" customHeight="false" outlineLevel="0" collapsed="false">
      <c r="B973" s="24"/>
      <c r="C973" s="24"/>
      <c r="D973" s="24"/>
      <c r="U973" s="26"/>
      <c r="Z973" s="26"/>
    </row>
    <row r="974" customFormat="false" ht="15" hidden="false" customHeight="false" outlineLevel="0" collapsed="false">
      <c r="B974" s="24"/>
      <c r="C974" s="24"/>
      <c r="D974" s="24"/>
      <c r="U974" s="26"/>
      <c r="Z974" s="26"/>
    </row>
    <row r="975" customFormat="false" ht="15" hidden="false" customHeight="false" outlineLevel="0" collapsed="false">
      <c r="B975" s="24"/>
      <c r="C975" s="24"/>
      <c r="D975" s="24"/>
      <c r="U975" s="26"/>
      <c r="Z975" s="26"/>
    </row>
    <row r="976" customFormat="false" ht="15" hidden="false" customHeight="false" outlineLevel="0" collapsed="false">
      <c r="B976" s="24"/>
      <c r="C976" s="24"/>
      <c r="D976" s="24"/>
      <c r="U976" s="26"/>
      <c r="Z976" s="26"/>
    </row>
    <row r="977" customFormat="false" ht="15" hidden="false" customHeight="false" outlineLevel="0" collapsed="false">
      <c r="B977" s="24"/>
      <c r="C977" s="24"/>
      <c r="D977" s="24"/>
      <c r="U977" s="26"/>
      <c r="Z977" s="26"/>
    </row>
    <row r="978" customFormat="false" ht="15" hidden="false" customHeight="false" outlineLevel="0" collapsed="false">
      <c r="B978" s="24"/>
      <c r="C978" s="24"/>
      <c r="D978" s="24"/>
      <c r="U978" s="26"/>
      <c r="Z978" s="26"/>
    </row>
    <row r="979" customFormat="false" ht="15" hidden="false" customHeight="false" outlineLevel="0" collapsed="false">
      <c r="B979" s="24"/>
      <c r="C979" s="24"/>
      <c r="D979" s="24"/>
      <c r="U979" s="26"/>
      <c r="Z979" s="26"/>
    </row>
    <row r="980" customFormat="false" ht="15" hidden="false" customHeight="false" outlineLevel="0" collapsed="false">
      <c r="B980" s="24"/>
      <c r="C980" s="24"/>
      <c r="D980" s="24"/>
      <c r="U980" s="26"/>
      <c r="Z980" s="26"/>
    </row>
    <row r="981" customFormat="false" ht="15" hidden="false" customHeight="false" outlineLevel="0" collapsed="false">
      <c r="B981" s="24"/>
      <c r="C981" s="24"/>
      <c r="D981" s="24"/>
      <c r="U981" s="26"/>
      <c r="Z981" s="26"/>
    </row>
    <row r="982" customFormat="false" ht="15" hidden="false" customHeight="false" outlineLevel="0" collapsed="false">
      <c r="B982" s="24"/>
      <c r="C982" s="24"/>
      <c r="D982" s="24"/>
      <c r="U982" s="26"/>
      <c r="Z982" s="26"/>
    </row>
    <row r="983" customFormat="false" ht="15" hidden="false" customHeight="false" outlineLevel="0" collapsed="false">
      <c r="B983" s="24"/>
      <c r="C983" s="24"/>
      <c r="D983" s="24"/>
      <c r="U983" s="26"/>
      <c r="Z983" s="26"/>
    </row>
    <row r="984" customFormat="false" ht="15" hidden="false" customHeight="false" outlineLevel="0" collapsed="false">
      <c r="B984" s="24"/>
      <c r="C984" s="24"/>
      <c r="D984" s="24"/>
      <c r="U984" s="26"/>
      <c r="Z984" s="26"/>
    </row>
    <row r="985" customFormat="false" ht="15" hidden="false" customHeight="false" outlineLevel="0" collapsed="false">
      <c r="B985" s="24"/>
      <c r="C985" s="24"/>
      <c r="D985" s="24"/>
      <c r="U985" s="26"/>
      <c r="Z985" s="26"/>
    </row>
    <row r="986" customFormat="false" ht="15" hidden="false" customHeight="false" outlineLevel="0" collapsed="false">
      <c r="B986" s="24"/>
      <c r="C986" s="24"/>
      <c r="D986" s="24"/>
      <c r="U986" s="26"/>
      <c r="Z986" s="26"/>
    </row>
    <row r="987" customFormat="false" ht="15" hidden="false" customHeight="false" outlineLevel="0" collapsed="false">
      <c r="B987" s="24"/>
      <c r="C987" s="24"/>
      <c r="D987" s="24"/>
      <c r="U987" s="26"/>
      <c r="Z987" s="26"/>
    </row>
    <row r="988" customFormat="false" ht="15" hidden="false" customHeight="false" outlineLevel="0" collapsed="false">
      <c r="B988" s="24"/>
      <c r="C988" s="24"/>
      <c r="D988" s="24"/>
      <c r="U988" s="26"/>
      <c r="Z988" s="26"/>
    </row>
    <row r="989" customFormat="false" ht="15" hidden="false" customHeight="false" outlineLevel="0" collapsed="false">
      <c r="B989" s="24"/>
      <c r="C989" s="24"/>
      <c r="D989" s="24"/>
      <c r="U989" s="26"/>
      <c r="Z989" s="26"/>
    </row>
    <row r="990" customFormat="false" ht="15" hidden="false" customHeight="false" outlineLevel="0" collapsed="false">
      <c r="B990" s="24"/>
      <c r="C990" s="24"/>
      <c r="D990" s="24"/>
      <c r="U990" s="26"/>
      <c r="Z990" s="26"/>
    </row>
    <row r="991" customFormat="false" ht="15" hidden="false" customHeight="false" outlineLevel="0" collapsed="false">
      <c r="B991" s="24"/>
      <c r="C991" s="24"/>
      <c r="D991" s="24"/>
      <c r="U991" s="26"/>
      <c r="Z991" s="26"/>
    </row>
    <row r="992" customFormat="false" ht="15" hidden="false" customHeight="false" outlineLevel="0" collapsed="false">
      <c r="B992" s="24"/>
      <c r="C992" s="24"/>
      <c r="D992" s="24"/>
      <c r="U992" s="26"/>
      <c r="Z992" s="26"/>
    </row>
    <row r="993" customFormat="false" ht="15" hidden="false" customHeight="false" outlineLevel="0" collapsed="false">
      <c r="B993" s="24"/>
      <c r="C993" s="24"/>
      <c r="D993" s="24"/>
      <c r="U993" s="26"/>
      <c r="Z993" s="26"/>
    </row>
    <row r="994" customFormat="false" ht="15" hidden="false" customHeight="false" outlineLevel="0" collapsed="false">
      <c r="B994" s="24"/>
      <c r="C994" s="24"/>
      <c r="D994" s="24"/>
      <c r="U994" s="26"/>
      <c r="Z994" s="26"/>
    </row>
    <row r="995" customFormat="false" ht="15" hidden="false" customHeight="false" outlineLevel="0" collapsed="false">
      <c r="B995" s="24"/>
      <c r="C995" s="24"/>
      <c r="D995" s="24"/>
      <c r="U995" s="26"/>
      <c r="Z995" s="26"/>
    </row>
    <row r="996" customFormat="false" ht="15" hidden="false" customHeight="false" outlineLevel="0" collapsed="false">
      <c r="B996" s="24"/>
      <c r="C996" s="24"/>
      <c r="D996" s="24"/>
      <c r="U996" s="26"/>
      <c r="Z996" s="26"/>
    </row>
    <row r="997" customFormat="false" ht="15" hidden="false" customHeight="false" outlineLevel="0" collapsed="false">
      <c r="B997" s="24"/>
      <c r="C997" s="24"/>
      <c r="D997" s="24"/>
      <c r="U997" s="26"/>
      <c r="Z997" s="26"/>
    </row>
    <row r="998" customFormat="false" ht="15" hidden="false" customHeight="false" outlineLevel="0" collapsed="false">
      <c r="B998" s="24"/>
      <c r="C998" s="24"/>
      <c r="D998" s="24"/>
      <c r="U998" s="26"/>
      <c r="Z998" s="26"/>
    </row>
    <row r="999" customFormat="false" ht="15" hidden="false" customHeight="false" outlineLevel="0" collapsed="false">
      <c r="B999" s="24"/>
      <c r="C999" s="24"/>
      <c r="D999" s="24"/>
      <c r="U999" s="26"/>
      <c r="Z999" s="26"/>
    </row>
    <row r="1000" customFormat="false" ht="15" hidden="false" customHeight="false" outlineLevel="0" collapsed="false">
      <c r="B1000" s="24"/>
      <c r="C1000" s="24"/>
      <c r="D1000" s="24"/>
      <c r="U1000" s="26"/>
      <c r="Z1000" s="26"/>
    </row>
    <row r="1001" customFormat="false" ht="15" hidden="false" customHeight="false" outlineLevel="0" collapsed="false">
      <c r="B1001" s="24"/>
      <c r="C1001" s="24"/>
      <c r="D1001" s="24"/>
      <c r="U1001" s="26"/>
      <c r="Z1001" s="26"/>
    </row>
    <row r="1002" customFormat="false" ht="15" hidden="false" customHeight="false" outlineLevel="0" collapsed="false">
      <c r="B1002" s="24"/>
      <c r="C1002" s="24"/>
      <c r="D1002" s="24"/>
      <c r="U1002" s="26"/>
      <c r="Z1002" s="26"/>
    </row>
    <row r="1003" customFormat="false" ht="15" hidden="false" customHeight="false" outlineLevel="0" collapsed="false">
      <c r="B1003" s="24"/>
      <c r="C1003" s="24"/>
      <c r="D1003" s="24"/>
      <c r="U1003" s="26"/>
      <c r="Z1003" s="26"/>
    </row>
    <row r="1004" customFormat="false" ht="15" hidden="false" customHeight="false" outlineLevel="0" collapsed="false">
      <c r="B1004" s="24"/>
      <c r="C1004" s="24"/>
      <c r="D1004" s="24"/>
      <c r="U1004" s="26"/>
      <c r="Z1004" s="26"/>
    </row>
    <row r="1005" customFormat="false" ht="15" hidden="false" customHeight="false" outlineLevel="0" collapsed="false">
      <c r="B1005" s="24"/>
      <c r="C1005" s="24"/>
      <c r="D1005" s="24"/>
      <c r="U1005" s="26"/>
      <c r="Z1005" s="26"/>
    </row>
    <row r="1006" customFormat="false" ht="15" hidden="false" customHeight="false" outlineLevel="0" collapsed="false">
      <c r="B1006" s="24"/>
      <c r="C1006" s="24"/>
      <c r="D1006" s="24"/>
      <c r="U1006" s="26"/>
      <c r="Z1006" s="26"/>
    </row>
    <row r="1007" customFormat="false" ht="15" hidden="false" customHeight="false" outlineLevel="0" collapsed="false">
      <c r="B1007" s="24"/>
      <c r="C1007" s="24"/>
      <c r="D1007" s="24"/>
      <c r="U1007" s="26"/>
      <c r="Z1007" s="26"/>
    </row>
    <row r="1008" customFormat="false" ht="15" hidden="false" customHeight="false" outlineLevel="0" collapsed="false">
      <c r="B1008" s="24"/>
      <c r="C1008" s="24"/>
      <c r="D1008" s="24"/>
      <c r="U1008" s="26"/>
      <c r="Z1008" s="26"/>
    </row>
    <row r="1009" customFormat="false" ht="15" hidden="false" customHeight="false" outlineLevel="0" collapsed="false">
      <c r="B1009" s="24"/>
      <c r="C1009" s="24"/>
      <c r="D1009" s="24"/>
      <c r="U1009" s="26"/>
      <c r="Z1009" s="26"/>
    </row>
    <row r="1010" customFormat="false" ht="15" hidden="false" customHeight="false" outlineLevel="0" collapsed="false">
      <c r="B1010" s="24"/>
      <c r="C1010" s="24"/>
      <c r="D1010" s="24"/>
      <c r="U1010" s="26"/>
      <c r="Z1010" s="26"/>
    </row>
    <row r="1011" customFormat="false" ht="15" hidden="false" customHeight="false" outlineLevel="0" collapsed="false">
      <c r="B1011" s="24"/>
      <c r="C1011" s="24"/>
      <c r="D1011" s="24"/>
      <c r="U1011" s="26"/>
      <c r="Z1011" s="26"/>
    </row>
    <row r="1012" customFormat="false" ht="15" hidden="false" customHeight="false" outlineLevel="0" collapsed="false">
      <c r="B1012" s="24"/>
      <c r="C1012" s="24"/>
      <c r="D1012" s="24"/>
      <c r="U1012" s="26"/>
      <c r="Z1012" s="26"/>
    </row>
    <row r="1013" customFormat="false" ht="15" hidden="false" customHeight="false" outlineLevel="0" collapsed="false">
      <c r="B1013" s="24"/>
      <c r="C1013" s="24"/>
      <c r="D1013" s="24"/>
      <c r="U1013" s="26"/>
      <c r="Z1013" s="26"/>
    </row>
    <row r="1014" customFormat="false" ht="15" hidden="false" customHeight="false" outlineLevel="0" collapsed="false">
      <c r="B1014" s="24"/>
      <c r="C1014" s="24"/>
      <c r="D1014" s="24"/>
      <c r="U1014" s="26"/>
      <c r="Z1014" s="26"/>
    </row>
    <row r="1015" customFormat="false" ht="15" hidden="false" customHeight="false" outlineLevel="0" collapsed="false">
      <c r="B1015" s="24"/>
      <c r="C1015" s="24"/>
      <c r="D1015" s="24"/>
      <c r="U1015" s="26"/>
      <c r="Z1015" s="26"/>
    </row>
    <row r="1016" customFormat="false" ht="15" hidden="false" customHeight="false" outlineLevel="0" collapsed="false">
      <c r="B1016" s="24"/>
      <c r="C1016" s="24"/>
      <c r="D1016" s="24"/>
      <c r="U1016" s="26"/>
      <c r="Z1016" s="26"/>
    </row>
  </sheetData>
  <mergeCells count="1">
    <mergeCell ref="A1:H1"/>
  </mergeCells>
  <conditionalFormatting sqref="AE5:AE10004">
    <cfRule type="expression" priority="2" aboveAverage="0" equalAverage="0" bottom="0" percent="0" rank="0" text="" dxfId="8">
      <formula>AND(AE5&lt;&gt;"",AE5&lt;&gt;"OK")</formula>
    </cfRule>
  </conditionalFormatting>
  <conditionalFormatting sqref="U5:U10004">
    <cfRule type="expression" priority="3" aboveAverage="0" equalAverage="0" bottom="0" percent="0" rank="0" text="" dxfId="9">
      <formula>AND(ISNUMBER(U5),U5&lt;1)</formula>
    </cfRule>
    <cfRule type="expression" priority="4" aboveAverage="0" equalAverage="0" bottom="0" percent="0" rank="0" text="" dxfId="10">
      <formula>AND(ISNUMBER(U5),U5&gt;=1)</formula>
    </cfRule>
  </conditionalFormatting>
  <conditionalFormatting sqref="Z5:Z10004">
    <cfRule type="expression" priority="5" aboveAverage="0" equalAverage="0" bottom="0" percent="0" rank="0" text="" dxfId="9">
      <formula>AND(ISNUMBER(Z5),Z5&lt;1)</formula>
    </cfRule>
    <cfRule type="expression" priority="6" aboveAverage="0" equalAverage="0" bottom="0" percent="0" rank="0" text="" dxfId="10">
      <formula>AND(ISNUMBER(Z5),Z5&gt;=1)</formula>
    </cfRule>
  </conditionalFormatting>
  <conditionalFormatting sqref="AB5:AB10004">
    <cfRule type="expression" priority="7" aboveAverage="0" equalAverage="0" bottom="0" percent="0" rank="0" text="" dxfId="9">
      <formula>AND(ISNUMBER(AB5),AB5&gt;0)</formula>
    </cfRule>
  </conditionalFormatting>
  <dataValidations count="6">
    <dataValidation allowBlank="true" error="Chọn giá trị trong danh sách." errorStyle="stop" errorTitle="Sai dữ liệu" operator="between" showDropDown="false" showErrorMessage="true" showInputMessage="false" sqref="B5:B1016" type="list">
      <formula1>DS_CHUYEN</formula1>
      <formula2>0</formula2>
    </dataValidation>
    <dataValidation allowBlank="true" error="Mã sản phẩm phải có trong sheet DANH_SACH_SAN_PHAM." errorStyle="stop" errorTitle="Sai dữ liệu" operator="between" showDropDown="false" showErrorMessage="true" showInputMessage="false" sqref="C5:C1016" type="list">
      <formula1>DS_MA_SAN_PHAM</formula1>
      <formula2>0</formula2>
    </dataValidation>
    <dataValidation allowBlank="true" error="Chọn giá trị trong danh sách." errorStyle="stop" errorTitle="Sai dữ liệu" operator="between" showDropDown="false" showErrorMessage="true" showInputMessage="false" sqref="D5:D1016" type="list">
      <formula1>DS_MA_CA</formula1>
      <formula2>0</formula2>
    </dataValidation>
    <dataValidation allowBlank="true" error="Chọn giá trị trong danh sách." errorStyle="stop" errorTitle="Sai dữ liệu" operator="between" showDropDown="false" showErrorMessage="true" showInputMessage="false" sqref="AC5:AC1016" type="list">
      <formula1>"Chưa chạy,Đang chạy,Hoàn thành,Tạm dừng"</formula1>
      <formula2>0</formula2>
    </dataValidation>
    <dataValidation allowBlank="true" error="Nhập ngày dạng dd/mm/yyyy." errorStyle="stop" operator="greaterThan" showDropDown="false" showErrorMessage="true" showInputMessage="false" sqref="A5:A1016" type="date">
      <formula1>DATE(2020,1,1)</formula1>
      <formula2>0</formula2>
    </dataValidation>
    <dataValidation allowBlank="true" error="Nhập số nguyên ≥ 0." errorStyle="stop" operator="greaterThanOrEqual" showDropDown="false" showErrorMessage="true" showInputMessage="false" sqref="E5:E1016 H5:S1016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6"/>
  </cols>
  <sheetData>
    <row r="1" customFormat="false" ht="27.75" hidden="false" customHeight="true" outlineLevel="0" collapsed="false">
      <c r="A1" s="6" t="s">
        <v>178</v>
      </c>
      <c r="B1" s="6"/>
      <c r="C1" s="6"/>
      <c r="D1" s="6"/>
      <c r="E1" s="6"/>
      <c r="F1" s="6"/>
      <c r="G1" s="6"/>
      <c r="H1" s="6"/>
    </row>
    <row r="2" customFormat="false" ht="27.75" hidden="false" customHeight="true" outlineLevel="0" collapsed="false">
      <c r="A2" s="7" t="s">
        <v>179</v>
      </c>
      <c r="B2" s="7" t="s">
        <v>84</v>
      </c>
      <c r="C2" s="7" t="s">
        <v>180</v>
      </c>
      <c r="D2" s="7" t="s">
        <v>86</v>
      </c>
      <c r="E2" s="7" t="s">
        <v>181</v>
      </c>
      <c r="F2" s="7" t="s">
        <v>182</v>
      </c>
      <c r="G2" s="7" t="s">
        <v>183</v>
      </c>
      <c r="H2" s="7" t="s">
        <v>118</v>
      </c>
      <c r="I2" s="7" t="s">
        <v>184</v>
      </c>
      <c r="J2" s="7" t="s">
        <v>185</v>
      </c>
    </row>
    <row r="3" customFormat="false" ht="37.5" hidden="false" customHeight="true" outlineLevel="0" collapsed="false">
      <c r="A3" s="8" t="s">
        <v>186</v>
      </c>
      <c r="B3" s="8" t="s">
        <v>87</v>
      </c>
      <c r="C3" s="8" t="s">
        <v>187</v>
      </c>
      <c r="D3" s="8" t="s">
        <v>89</v>
      </c>
      <c r="E3" s="9" t="s">
        <v>188</v>
      </c>
      <c r="F3" s="9" t="s">
        <v>189</v>
      </c>
      <c r="G3" s="9" t="s">
        <v>190</v>
      </c>
      <c r="H3" s="9" t="s">
        <v>191</v>
      </c>
      <c r="I3" s="9" t="s">
        <v>192</v>
      </c>
      <c r="J3" s="9" t="s">
        <v>193</v>
      </c>
    </row>
    <row r="4" customFormat="false" ht="15" hidden="false" customHeight="false" outlineLevel="0" collapsed="false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</row>
    <row r="5" customFormat="false" ht="15" hidden="false" customHeight="false" outlineLevel="0" collapsed="false">
      <c r="A5" s="27" t="n">
        <v>46266</v>
      </c>
      <c r="B5" s="11" t="s">
        <v>90</v>
      </c>
      <c r="C5" s="16" t="n">
        <v>40000</v>
      </c>
      <c r="D5" s="12"/>
      <c r="E5" s="17" t="n">
        <f aca="false">IF(OR(A5="",B5=""),"",SUMIFS(NHAP_LIEU!$T$5:$T$10004,NHAP_LIEU!$C$5:$C$10004,B5,NHAP_LIEU!$A$5:$A$10004,"&gt;="&amp;DATE(YEAR(A5),MONTH(A5),1),NHAP_LIEU!$A$5:$A$10004,"&lt;"&amp;DATE(YEAR(A5),MONTH(A5)+1,1)))</f>
        <v>1060</v>
      </c>
      <c r="F5" s="19" t="n">
        <f aca="false">IF(OR(E5="",C5=""),"",E5-C5)</f>
        <v>-38940</v>
      </c>
      <c r="G5" s="18" t="n">
        <f aca="false">IF(OR(E5="",N(C5)=0),"",E5/C5)</f>
        <v>0.0265</v>
      </c>
      <c r="H5" s="17" t="n">
        <f aca="false">IF(OR(E5="",C5=""),"",MAX(0,C5-E5))</f>
        <v>38940</v>
      </c>
      <c r="I5" s="17" t="n">
        <f aca="false">IF(OR(A5="",B5=""),"",SUMIFS(NHAP_LIEU!$G$5:$G$10004,NHAP_LIEU!$C$5:$C$10004,B5,NHAP_LIEU!$A$5:$A$10004,"&gt;="&amp;DATE(YEAR(A5),MONTH(A5),1),NHAP_LIEU!$A$5:$A$10004,"&lt;"&amp;DATE(YEAR(A5),MONTH(A5)+1,1),NHAP_LIEU!$T$5:$T$10004,"&gt;=0"))</f>
        <v>1600</v>
      </c>
      <c r="J5" s="19" t="n">
        <f aca="false">IF(I5="","",E5-I5)</f>
        <v>-540</v>
      </c>
    </row>
    <row r="6" customFormat="false" ht="15" hidden="false" customHeight="false" outlineLevel="0" collapsed="false">
      <c r="A6" s="27" t="n">
        <v>46266</v>
      </c>
      <c r="B6" s="11" t="s">
        <v>91</v>
      </c>
      <c r="C6" s="16" t="n">
        <v>40000</v>
      </c>
      <c r="D6" s="12"/>
      <c r="E6" s="17" t="n">
        <f aca="false">IF(OR(A6="",B6=""),"",SUMIFS(NHAP_LIEU!$T$5:$T$10004,NHAP_LIEU!$C$5:$C$10004,B6,NHAP_LIEU!$A$5:$A$10004,"&gt;="&amp;DATE(YEAR(A6),MONTH(A6),1),NHAP_LIEU!$A$5:$A$10004,"&lt;"&amp;DATE(YEAR(A6),MONTH(A6)+1,1)))</f>
        <v>2100</v>
      </c>
      <c r="F6" s="19" t="n">
        <f aca="false">IF(OR(E6="",C6=""),"",E6-C6)</f>
        <v>-37900</v>
      </c>
      <c r="G6" s="18" t="n">
        <f aca="false">IF(OR(E6="",N(C6)=0),"",E6/C6)</f>
        <v>0.0525</v>
      </c>
      <c r="H6" s="17" t="n">
        <f aca="false">IF(OR(E6="",C6=""),"",MAX(0,C6-E6))</f>
        <v>37900</v>
      </c>
      <c r="I6" s="17" t="n">
        <f aca="false">IF(OR(A6="",B6=""),"",SUMIFS(NHAP_LIEU!$G$5:$G$10004,NHAP_LIEU!$C$5:$C$10004,B6,NHAP_LIEU!$A$5:$A$10004,"&gt;="&amp;DATE(YEAR(A6),MONTH(A6),1),NHAP_LIEU!$A$5:$A$10004,"&lt;"&amp;DATE(YEAR(A6),MONTH(A6)+1,1),NHAP_LIEU!$T$5:$T$10004,"&gt;=0"))</f>
        <v>3000</v>
      </c>
      <c r="J6" s="19" t="n">
        <f aca="false">IF(I6="","",E6-I6)</f>
        <v>-900</v>
      </c>
    </row>
    <row r="7" customFormat="false" ht="15" hidden="false" customHeight="false" outlineLevel="0" collapsed="false">
      <c r="A7" s="27" t="n">
        <v>46266</v>
      </c>
      <c r="B7" s="11" t="s">
        <v>92</v>
      </c>
      <c r="C7" s="16" t="n">
        <v>50000</v>
      </c>
      <c r="D7" s="12"/>
      <c r="E7" s="17" t="n">
        <f aca="false">IF(OR(A7="",B7=""),"",SUMIFS(NHAP_LIEU!$T$5:$T$10004,NHAP_LIEU!$C$5:$C$10004,B7,NHAP_LIEU!$A$5:$A$10004,"&gt;="&amp;DATE(YEAR(A7),MONTH(A7),1),NHAP_LIEU!$A$5:$A$10004,"&lt;"&amp;DATE(YEAR(A7),MONTH(A7)+1,1)))</f>
        <v>2950</v>
      </c>
      <c r="F7" s="19" t="n">
        <f aca="false">IF(OR(E7="",C7=""),"",E7-C7)</f>
        <v>-47050</v>
      </c>
      <c r="G7" s="18" t="n">
        <f aca="false">IF(OR(E7="",N(C7)=0),"",E7/C7)</f>
        <v>0.059</v>
      </c>
      <c r="H7" s="17" t="n">
        <f aca="false">IF(OR(E7="",C7=""),"",MAX(0,C7-E7))</f>
        <v>47050</v>
      </c>
      <c r="I7" s="17" t="n">
        <f aca="false">IF(OR(A7="",B7=""),"",SUMIFS(NHAP_LIEU!$G$5:$G$10004,NHAP_LIEU!$C$5:$C$10004,B7,NHAP_LIEU!$A$5:$A$10004,"&gt;="&amp;DATE(YEAR(A7),MONTH(A7),1),NHAP_LIEU!$A$5:$A$10004,"&lt;"&amp;DATE(YEAR(A7),MONTH(A7)+1,1),NHAP_LIEU!$T$5:$T$10004,"&gt;=0"))</f>
        <v>4336</v>
      </c>
      <c r="J7" s="19" t="n">
        <f aca="false">IF(I7="","",E7-I7)</f>
        <v>-1386</v>
      </c>
    </row>
    <row r="8" customFormat="false" ht="15" hidden="false" customHeight="false" outlineLevel="0" collapsed="false">
      <c r="A8" s="27" t="n">
        <v>46266</v>
      </c>
      <c r="B8" s="11" t="s">
        <v>93</v>
      </c>
      <c r="C8" s="16" t="n">
        <v>100000</v>
      </c>
      <c r="D8" s="12" t="s">
        <v>94</v>
      </c>
      <c r="E8" s="17" t="n">
        <f aca="false">IF(OR(A8="",B8=""),"",SUMIFS(NHAP_LIEU!$T$5:$T$10004,NHAP_LIEU!$C$5:$C$10004,B8,NHAP_LIEU!$A$5:$A$10004,"&gt;="&amp;DATE(YEAR(A8),MONTH(A8),1),NHAP_LIEU!$A$5:$A$10004,"&lt;"&amp;DATE(YEAR(A8),MONTH(A8)+1,1)))</f>
        <v>700</v>
      </c>
      <c r="F8" s="19" t="n">
        <f aca="false">IF(OR(E8="",C8=""),"",E8-C8)</f>
        <v>-99300</v>
      </c>
      <c r="G8" s="18" t="n">
        <f aca="false">IF(OR(E8="",N(C8)=0),"",E8/C8)</f>
        <v>0.007</v>
      </c>
      <c r="H8" s="17" t="n">
        <f aca="false">IF(OR(E8="",C8=""),"",MAX(0,C8-E8))</f>
        <v>99300</v>
      </c>
      <c r="I8" s="17" t="n">
        <f aca="false">IF(OR(A8="",B8=""),"",SUMIFS(NHAP_LIEU!$G$5:$G$10004,NHAP_LIEU!$C$5:$C$10004,B8,NHAP_LIEU!$A$5:$A$10004,"&gt;="&amp;DATE(YEAR(A8),MONTH(A8),1),NHAP_LIEU!$A$5:$A$10004,"&lt;"&amp;DATE(YEAR(A8),MONTH(A8)+1,1),NHAP_LIEU!$T$5:$T$10004,"&gt;=0"))</f>
        <v>800</v>
      </c>
      <c r="J8" s="19" t="n">
        <f aca="false">IF(I8="","",E8-I8)</f>
        <v>-100</v>
      </c>
    </row>
  </sheetData>
  <mergeCells count="1">
    <mergeCell ref="A1:H1"/>
  </mergeCells>
  <conditionalFormatting sqref="G5:G2004">
    <cfRule type="expression" priority="2" aboveAverage="0" equalAverage="0" bottom="0" percent="0" rank="0" text="" dxfId="9">
      <formula>AND(ISNUMBER(G5),G5&lt;1)</formula>
    </cfRule>
  </conditionalFormatting>
  <dataValidations count="1">
    <dataValidation allowBlank="true" error="Mã sản phẩm phải có trong sheet DANH_SACH_SAN_PHAM." errorStyle="stop" errorTitle="Sai dữ liệu" operator="between" showDropDown="false" showErrorMessage="true" showInputMessage="false" sqref="B5:B1008" type="list">
      <formula1>DS_MA_SAN_PHAM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33" min="22" style="0" width="8"/>
    <col collapsed="false" customWidth="true" hidden="false" outlineLevel="0" max="34" min="34" style="0" width="12"/>
    <col collapsed="false" customWidth="true" hidden="false" outlineLevel="0" max="35" min="35" style="0" width="20"/>
    <col collapsed="false" customWidth="true" hidden="false" outlineLevel="0" max="36" min="36" style="0" width="10"/>
  </cols>
  <sheetData>
    <row r="1" customFormat="false" ht="27.75" hidden="false" customHeight="true" outlineLevel="0" collapsed="false">
      <c r="A1" s="6" t="s">
        <v>194</v>
      </c>
      <c r="B1" s="6"/>
      <c r="C1" s="6"/>
      <c r="D1" s="6"/>
      <c r="E1" s="6"/>
      <c r="G1" s="28" t="s">
        <v>195</v>
      </c>
      <c r="H1" s="28"/>
      <c r="I1" s="28"/>
      <c r="J1" s="29" t="n">
        <v>46295</v>
      </c>
      <c r="K1" s="28" t="s">
        <v>196</v>
      </c>
      <c r="L1" s="28"/>
      <c r="M1" s="30" t="n">
        <f aca="true">IF(J1&lt;&gt;"",J1,SUMPRODUCT(MAX((NHAP_LIEU!$A$5:$A$10004&lt;=TODAY())*NHAP_LIEU!$A$5:$A$10004)))</f>
        <v>46295</v>
      </c>
    </row>
    <row r="2" customFormat="false" ht="27.75" hidden="false" customHeight="true" outlineLevel="0" collapsed="false">
      <c r="A2" s="7" t="s">
        <v>98</v>
      </c>
      <c r="B2" s="7" t="s">
        <v>99</v>
      </c>
      <c r="C2" s="7" t="s">
        <v>84</v>
      </c>
      <c r="D2" s="7" t="s">
        <v>100</v>
      </c>
      <c r="E2" s="7" t="s">
        <v>27</v>
      </c>
      <c r="F2" s="7" t="s">
        <v>101</v>
      </c>
      <c r="G2" s="7" t="s">
        <v>102</v>
      </c>
      <c r="H2" s="7" t="s">
        <v>115</v>
      </c>
      <c r="I2" s="7" t="s">
        <v>116</v>
      </c>
      <c r="J2" s="7" t="s">
        <v>117</v>
      </c>
      <c r="K2" s="7" t="s">
        <v>118</v>
      </c>
      <c r="L2" s="7" t="s">
        <v>119</v>
      </c>
      <c r="M2" s="7" t="s">
        <v>120</v>
      </c>
      <c r="N2" s="7" t="s">
        <v>121</v>
      </c>
      <c r="O2" s="7" t="s">
        <v>122</v>
      </c>
      <c r="P2" s="7" t="s">
        <v>123</v>
      </c>
      <c r="Q2" s="7" t="s">
        <v>180</v>
      </c>
      <c r="R2" s="7" t="s">
        <v>181</v>
      </c>
      <c r="S2" s="7" t="s">
        <v>183</v>
      </c>
      <c r="T2" s="7" t="s">
        <v>118</v>
      </c>
      <c r="U2" s="7" t="s">
        <v>197</v>
      </c>
      <c r="V2" s="7" t="s">
        <v>103</v>
      </c>
      <c r="W2" s="7" t="s">
        <v>104</v>
      </c>
      <c r="X2" s="7" t="s">
        <v>105</v>
      </c>
      <c r="Y2" s="7" t="s">
        <v>106</v>
      </c>
      <c r="Z2" s="7" t="s">
        <v>107</v>
      </c>
      <c r="AA2" s="7" t="s">
        <v>108</v>
      </c>
      <c r="AB2" s="7" t="s">
        <v>109</v>
      </c>
      <c r="AC2" s="7" t="s">
        <v>110</v>
      </c>
      <c r="AD2" s="7" t="s">
        <v>111</v>
      </c>
      <c r="AE2" s="7" t="s">
        <v>112</v>
      </c>
      <c r="AF2" s="7" t="s">
        <v>113</v>
      </c>
      <c r="AG2" s="7" t="s">
        <v>114</v>
      </c>
      <c r="AH2" s="7" t="s">
        <v>124</v>
      </c>
      <c r="AI2" s="7" t="s">
        <v>86</v>
      </c>
      <c r="AJ2" s="7" t="s">
        <v>126</v>
      </c>
    </row>
    <row r="3" customFormat="false" ht="37.5" hidden="false" customHeight="true" outlineLevel="0" collapsed="false">
      <c r="A3" s="9" t="s">
        <v>127</v>
      </c>
      <c r="B3" s="9" t="s">
        <v>128</v>
      </c>
      <c r="C3" s="9" t="s">
        <v>87</v>
      </c>
      <c r="D3" s="9" t="s">
        <v>35</v>
      </c>
      <c r="E3" s="9" t="s">
        <v>130</v>
      </c>
      <c r="F3" s="9" t="s">
        <v>129</v>
      </c>
      <c r="G3" s="9" t="s">
        <v>131</v>
      </c>
      <c r="H3" s="9" t="s">
        <v>144</v>
      </c>
      <c r="I3" s="9" t="s">
        <v>145</v>
      </c>
      <c r="J3" s="9" t="s">
        <v>146</v>
      </c>
      <c r="K3" s="9" t="s">
        <v>147</v>
      </c>
      <c r="L3" s="9" t="s">
        <v>148</v>
      </c>
      <c r="M3" s="9" t="s">
        <v>149</v>
      </c>
      <c r="N3" s="9" t="s">
        <v>150</v>
      </c>
      <c r="O3" s="9" t="s">
        <v>151</v>
      </c>
      <c r="P3" s="9" t="s">
        <v>152</v>
      </c>
      <c r="Q3" s="9" t="s">
        <v>198</v>
      </c>
      <c r="R3" s="9" t="s">
        <v>199</v>
      </c>
      <c r="S3" s="9" t="s">
        <v>200</v>
      </c>
      <c r="T3" s="9" t="s">
        <v>201</v>
      </c>
      <c r="U3" s="9" t="s">
        <v>202</v>
      </c>
      <c r="V3" s="9" t="s">
        <v>132</v>
      </c>
      <c r="W3" s="9" t="s">
        <v>133</v>
      </c>
      <c r="X3" s="9" t="s">
        <v>134</v>
      </c>
      <c r="Y3" s="9" t="s">
        <v>135</v>
      </c>
      <c r="Z3" s="9" t="s">
        <v>136</v>
      </c>
      <c r="AA3" s="9" t="s">
        <v>137</v>
      </c>
      <c r="AB3" s="9" t="s">
        <v>138</v>
      </c>
      <c r="AC3" s="9" t="s">
        <v>139</v>
      </c>
      <c r="AD3" s="9" t="s">
        <v>140</v>
      </c>
      <c r="AE3" s="9" t="s">
        <v>141</v>
      </c>
      <c r="AF3" s="9" t="s">
        <v>142</v>
      </c>
      <c r="AG3" s="9" t="s">
        <v>143</v>
      </c>
      <c r="AH3" s="9" t="s">
        <v>44</v>
      </c>
      <c r="AI3" s="9" t="s">
        <v>89</v>
      </c>
      <c r="AJ3" s="9" t="s">
        <v>203</v>
      </c>
    </row>
    <row r="4" customFormat="false" ht="15" hidden="false" customHeight="false" outlineLevel="0" collapsed="false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  <c r="K4" s="10" t="s">
        <v>155</v>
      </c>
      <c r="L4" s="10" t="s">
        <v>156</v>
      </c>
      <c r="M4" s="10" t="s">
        <v>157</v>
      </c>
      <c r="N4" s="10" t="s">
        <v>158</v>
      </c>
      <c r="O4" s="10" t="s">
        <v>159</v>
      </c>
      <c r="P4" s="10" t="s">
        <v>160</v>
      </c>
      <c r="Q4" s="10" t="s">
        <v>161</v>
      </c>
      <c r="R4" s="10" t="s">
        <v>162</v>
      </c>
      <c r="S4" s="10" t="s">
        <v>163</v>
      </c>
      <c r="T4" s="10" t="s">
        <v>164</v>
      </c>
      <c r="U4" s="10" t="s">
        <v>165</v>
      </c>
      <c r="V4" s="10" t="s">
        <v>166</v>
      </c>
      <c r="W4" s="10" t="s">
        <v>167</v>
      </c>
      <c r="X4" s="10" t="s">
        <v>168</v>
      </c>
      <c r="Y4" s="10" t="s">
        <v>169</v>
      </c>
      <c r="Z4" s="10" t="s">
        <v>170</v>
      </c>
      <c r="AA4" s="10" t="s">
        <v>171</v>
      </c>
      <c r="AB4" s="10" t="s">
        <v>172</v>
      </c>
      <c r="AC4" s="10" t="s">
        <v>173</v>
      </c>
      <c r="AD4" s="10" t="s">
        <v>174</v>
      </c>
      <c r="AE4" s="10" t="s">
        <v>175</v>
      </c>
      <c r="AF4" s="10" t="s">
        <v>176</v>
      </c>
      <c r="AG4" s="10" t="s">
        <v>204</v>
      </c>
      <c r="AH4" s="10" t="s">
        <v>205</v>
      </c>
      <c r="AI4" s="10" t="s">
        <v>206</v>
      </c>
      <c r="AJ4" s="10" t="s">
        <v>207</v>
      </c>
    </row>
    <row r="5" customFormat="false" ht="15" hidden="false" customHeight="false" outlineLevel="0" collapsed="false">
      <c r="A5" s="31" t="n">
        <f aca="false">IF(B5="","",$M$1)</f>
        <v>46295</v>
      </c>
      <c r="B5" s="22" t="str">
        <f aca="false">IF(DANH_SACH_CHUYEN!B5="","",DANH_SACH_CHUYEN!B5)</f>
        <v>Chuyền 1</v>
      </c>
      <c r="C5" s="32" t="str">
        <f aca="false">IF($AJ5="","",IF(INDEX(NHAP_LIEU!$C$5:$C$10004,$AJ5)="","",INDEX(NHAP_LIEU!$C$5:$C$10004,$AJ5)))</f>
        <v>ĐAI LƯNG</v>
      </c>
      <c r="D5" s="22" t="str">
        <f aca="false">IF($AJ5="","",IF(INDEX(NHAP_LIEU!$D$5:$D$10004,$AJ5)="","",INDEX(NHAP_LIEU!$D$5:$D$10004,$AJ5)))</f>
        <v>8H</v>
      </c>
      <c r="E5" s="13" t="n">
        <f aca="false">IF($AJ5="","",IF(INDEX(NHAP_LIEU!$F$5:$F$10004,$AJ5)="","",INDEX(NHAP_LIEU!$F$5:$F$10004,$AJ5)))</f>
        <v>8</v>
      </c>
      <c r="F5" s="17" t="n">
        <f aca="false">IF($AJ5="","",IF(INDEX(NHAP_LIEU!$E$5:$E$10004,$AJ5)="","",INDEX(NHAP_LIEU!$E$5:$E$10004,$AJ5)))</f>
        <v>100</v>
      </c>
      <c r="G5" s="17" t="n">
        <f aca="false">IF($AJ5="","",IF(INDEX(NHAP_LIEU!$G$5:$G$10004,$AJ5)="","",INDEX(NHAP_LIEU!$G$5:$G$10004,$AJ5)))</f>
        <v>800</v>
      </c>
      <c r="H5" s="17" t="n">
        <f aca="false">IF($AJ5="","",IF(INDEX(NHAP_LIEU!$T$5:$T$10004,$AJ5)="","",INDEX(NHAP_LIEU!$T$5:$T$10004,$AJ5)))</f>
        <v>300</v>
      </c>
      <c r="I5" s="18" t="n">
        <f aca="false">IF($AJ5="","",IF(INDEX(NHAP_LIEU!$U$5:$U$10004,$AJ5)="","",INDEX(NHAP_LIEU!$U$5:$U$10004,$AJ5)))</f>
        <v>0.375</v>
      </c>
      <c r="J5" s="19" t="n">
        <f aca="false">IF($AJ5="","",IF(INDEX(NHAP_LIEU!$V$5:$V$10004,$AJ5)="","",INDEX(NHAP_LIEU!$V$5:$V$10004,$AJ5)))</f>
        <v>-500</v>
      </c>
      <c r="K5" s="17" t="n">
        <f aca="false">IF($AJ5="","",IF(INDEX(NHAP_LIEU!$W$5:$W$10004,$AJ5)="","",INDEX(NHAP_LIEU!$W$5:$W$10004,$AJ5)))</f>
        <v>500</v>
      </c>
      <c r="L5" s="20" t="n">
        <f aca="false">IF($AJ5="","",IF(INDEX(NHAP_LIEU!$X$5:$X$10004,$AJ5)="","",INDEX(NHAP_LIEU!$X$5:$X$10004,$AJ5)))</f>
        <v>3</v>
      </c>
      <c r="M5" s="17" t="n">
        <f aca="false">IF($AJ5="","",IF(INDEX(NHAP_LIEU!$Y$5:$Y$10004,$AJ5)="","",INDEX(NHAP_LIEU!$Y$5:$Y$10004,$AJ5)))</f>
        <v>300</v>
      </c>
      <c r="N5" s="18" t="n">
        <f aca="false">IF($AJ5="","",IF(INDEX(NHAP_LIEU!$Z$5:$Z$10004,$AJ5)="","",INDEX(NHAP_LIEU!$Z$5:$Z$10004,$AJ5)))</f>
        <v>1</v>
      </c>
      <c r="O5" s="21" t="n">
        <f aca="false">IF($AJ5="","",IF(INDEX(NHAP_LIEU!$AA$5:$AA$10004,$AJ5)="","",INDEX(NHAP_LIEU!$AA$5:$AA$10004,$AJ5)))</f>
        <v>46294</v>
      </c>
      <c r="P5" s="17" t="n">
        <f aca="false">IF($AJ5="","",IF(INDEX(NHAP_LIEU!$AB$5:$AB$10004,$AJ5)="","",INDEX(NHAP_LIEU!$AB$5:$AB$10004,$AJ5)))</f>
        <v>40</v>
      </c>
      <c r="Q5" s="17" t="n">
        <f aca="false">IF(C5="","",SUMIFS(MUC_TIEU_THANG!$C$5:$C$2004,MUC_TIEU_THANG!$B$5:$B$2004,C5,MUC_TIEU_THANG!$A$5:$A$2004,"&gt;="&amp;DATE(YEAR(A5),MONTH(A5),1),MUC_TIEU_THANG!$A$5:$A$2004,"&lt;"&amp;DATE(YEAR(A5),MONTH(A5)+1,1)))</f>
        <v>40000</v>
      </c>
      <c r="R5" s="17" t="n">
        <f aca="false">IF(C5="","",SUMIFS(NHAP_LIEU!$T$5:$T$10004,NHAP_LIEU!$C$5:$C$10004,C5,NHAP_LIEU!$A$5:$A$10004,"&gt;="&amp;DATE(YEAR(A5),MONTH(A5),1),NHAP_LIEU!$A$5:$A$10004,"&lt;="&amp;A5))</f>
        <v>1060</v>
      </c>
      <c r="S5" s="18" t="n">
        <f aca="false">IF(OR(R5="",N(Q5)=0),"",R5/Q5)</f>
        <v>0.0265</v>
      </c>
      <c r="T5" s="17" t="n">
        <f aca="false">IF(OR(R5="",N(Q5)=0),"",MAX(0,Q5-R5))</f>
        <v>38940</v>
      </c>
      <c r="U5" s="17" t="n">
        <f aca="false">IF(B5="","",SUMIFS(NHAP_LIEU!$T$5:$T$10004,NHAP_LIEU!$B$5:$B$10004,B5,NHAP_LIEU!$A$5:$A$10004,"&gt;="&amp;DATE(YEAR(A5),MONTH(A5),1),NHAP_LIEU!$A$5:$A$10004,"&lt;="&amp;A5))</f>
        <v>1060</v>
      </c>
      <c r="V5" s="17" t="n">
        <f aca="false">IF($AJ5="","",IF(INDEX(NHAP_LIEU!$H$5:$H$10004,$AJ5)="","",INDEX(NHAP_LIEU!$H$5:$H$10004,$AJ5)))</f>
        <v>100</v>
      </c>
      <c r="W5" s="17" t="n">
        <f aca="false">IF($AJ5="","",IF(INDEX(NHAP_LIEU!$I$5:$I$10004,$AJ5)="","",INDEX(NHAP_LIEU!$I$5:$I$10004,$AJ5)))</f>
        <v>90</v>
      </c>
      <c r="X5" s="17" t="n">
        <f aca="false">IF($AJ5="","",IF(INDEX(NHAP_LIEU!$J$5:$J$10004,$AJ5)="","",INDEX(NHAP_LIEU!$J$5:$J$10004,$AJ5)))</f>
        <v>110</v>
      </c>
      <c r="Y5" s="17" t="str">
        <f aca="false">IF($AJ5="","",IF(INDEX(NHAP_LIEU!$K$5:$K$10004,$AJ5)="","",INDEX(NHAP_LIEU!$K$5:$K$10004,$AJ5)))</f>
        <v/>
      </c>
      <c r="Z5" s="17" t="str">
        <f aca="false">IF($AJ5="","",IF(INDEX(NHAP_LIEU!$L$5:$L$10004,$AJ5)="","",INDEX(NHAP_LIEU!$L$5:$L$10004,$AJ5)))</f>
        <v/>
      </c>
      <c r="AA5" s="17" t="str">
        <f aca="false">IF($AJ5="","",IF(INDEX(NHAP_LIEU!$M$5:$M$10004,$AJ5)="","",INDEX(NHAP_LIEU!$M$5:$M$10004,$AJ5)))</f>
        <v/>
      </c>
      <c r="AB5" s="17" t="str">
        <f aca="false">IF($AJ5="","",IF(INDEX(NHAP_LIEU!$N$5:$N$10004,$AJ5)="","",INDEX(NHAP_LIEU!$N$5:$N$10004,$AJ5)))</f>
        <v/>
      </c>
      <c r="AC5" s="17" t="str">
        <f aca="false">IF($AJ5="","",IF(INDEX(NHAP_LIEU!$O$5:$O$10004,$AJ5)="","",INDEX(NHAP_LIEU!$O$5:$O$10004,$AJ5)))</f>
        <v/>
      </c>
      <c r="AD5" s="17" t="str">
        <f aca="false">IF($AJ5="","",IF(INDEX(NHAP_LIEU!$P$5:$P$10004,$AJ5)="","",INDEX(NHAP_LIEU!$P$5:$P$10004,$AJ5)))</f>
        <v/>
      </c>
      <c r="AE5" s="17" t="str">
        <f aca="false">IF($AJ5="","",IF(INDEX(NHAP_LIEU!$Q$5:$Q$10004,$AJ5)="","",INDEX(NHAP_LIEU!$Q$5:$Q$10004,$AJ5)))</f>
        <v/>
      </c>
      <c r="AF5" s="17" t="str">
        <f aca="false">IF($AJ5="","",IF(INDEX(NHAP_LIEU!$R$5:$R$10004,$AJ5)="","",INDEX(NHAP_LIEU!$R$5:$R$10004,$AJ5)))</f>
        <v/>
      </c>
      <c r="AG5" s="17" t="str">
        <f aca="false">IF($AJ5="","",IF(INDEX(NHAP_LIEU!$S$5:$S$10004,$AJ5)="","",INDEX(NHAP_LIEU!$S$5:$S$10004,$AJ5)))</f>
        <v/>
      </c>
      <c r="AH5" s="22" t="str">
        <f aca="false">IF($AJ5="","",IF(INDEX(NHAP_LIEU!$AC$5:$AC$10004,$AJ5)="","",INDEX(NHAP_LIEU!$AC$5:$AC$10004,$AJ5)))</f>
        <v>Đang chạy</v>
      </c>
      <c r="AI5" s="22" t="str">
        <f aca="false">IF($AJ5="","",IF(INDEX(NHAP_LIEU!$AD$5:$AD$10004,$AJ5)="","",INDEX(NHAP_LIEU!$AD$5:$AD$10004,$AJ5)))</f>
        <v/>
      </c>
      <c r="AJ5" s="20" t="n">
        <f aca="false">IF(OR(B5="",A5=""),"",IFERROR(MATCH(B5&amp;"|"&amp;A5,NHAP_LIEU!$AF$5:$AF$10004,0),""))</f>
        <v>1</v>
      </c>
    </row>
    <row r="6" customFormat="false" ht="15" hidden="false" customHeight="false" outlineLevel="0" collapsed="false">
      <c r="A6" s="31" t="n">
        <f aca="false">IF(B6="","",$M$1)</f>
        <v>46295</v>
      </c>
      <c r="B6" s="22" t="str">
        <f aca="false">IF(DANH_SACH_CHUYEN!B6="","",DANH_SACH_CHUYEN!B6)</f>
        <v>Chuyền 2</v>
      </c>
      <c r="C6" s="32" t="str">
        <f aca="false">IF($AJ6="","",IF(INDEX(NHAP_LIEU!$C$5:$C$10004,$AJ6)="","",INDEX(NHAP_LIEU!$C$5:$C$10004,$AJ6)))</f>
        <v>BAO TAY XANH</v>
      </c>
      <c r="D6" s="22" t="str">
        <f aca="false">IF($AJ6="","",IF(INDEX(NHAP_LIEU!$D$5:$D$10004,$AJ6)="","",INDEX(NHAP_LIEU!$D$5:$D$10004,$AJ6)))</f>
        <v>10H</v>
      </c>
      <c r="E6" s="13" t="n">
        <f aca="false">IF($AJ6="","",IF(INDEX(NHAP_LIEU!$F$5:$F$10004,$AJ6)="","",INDEX(NHAP_LIEU!$F$5:$F$10004,$AJ6)))</f>
        <v>10</v>
      </c>
      <c r="F6" s="17" t="n">
        <f aca="false">IF($AJ6="","",IF(INDEX(NHAP_LIEU!$E$5:$E$10004,$AJ6)="","",INDEX(NHAP_LIEU!$E$5:$E$10004,$AJ6)))</f>
        <v>100</v>
      </c>
      <c r="G6" s="17" t="n">
        <f aca="false">IF($AJ6="","",IF(INDEX(NHAP_LIEU!$G$5:$G$10004,$AJ6)="","",INDEX(NHAP_LIEU!$G$5:$G$10004,$AJ6)))</f>
        <v>1000</v>
      </c>
      <c r="H6" s="17" t="n">
        <f aca="false">IF($AJ6="","",IF(INDEX(NHAP_LIEU!$T$5:$T$10004,$AJ6)="","",INDEX(NHAP_LIEU!$T$5:$T$10004,$AJ6)))</f>
        <v>200</v>
      </c>
      <c r="I6" s="18" t="n">
        <f aca="false">IF($AJ6="","",IF(INDEX(NHAP_LIEU!$U$5:$U$10004,$AJ6)="","",INDEX(NHAP_LIEU!$U$5:$U$10004,$AJ6)))</f>
        <v>0.2</v>
      </c>
      <c r="J6" s="19" t="n">
        <f aca="false">IF($AJ6="","",IF(INDEX(NHAP_LIEU!$V$5:$V$10004,$AJ6)="","",INDEX(NHAP_LIEU!$V$5:$V$10004,$AJ6)))</f>
        <v>-800</v>
      </c>
      <c r="K6" s="17" t="n">
        <f aca="false">IF($AJ6="","",IF(INDEX(NHAP_LIEU!$W$5:$W$10004,$AJ6)="","",INDEX(NHAP_LIEU!$W$5:$W$10004,$AJ6)))</f>
        <v>800</v>
      </c>
      <c r="L6" s="20" t="n">
        <f aca="false">IF($AJ6="","",IF(INDEX(NHAP_LIEU!$X$5:$X$10004,$AJ6)="","",INDEX(NHAP_LIEU!$X$5:$X$10004,$AJ6)))</f>
        <v>2</v>
      </c>
      <c r="M6" s="17" t="n">
        <f aca="false">IF($AJ6="","",IF(INDEX(NHAP_LIEU!$Y$5:$Y$10004,$AJ6)="","",INDEX(NHAP_LIEU!$Y$5:$Y$10004,$AJ6)))</f>
        <v>200</v>
      </c>
      <c r="N6" s="18" t="n">
        <f aca="false">IF($AJ6="","",IF(INDEX(NHAP_LIEU!$Z$5:$Z$10004,$AJ6)="","",INDEX(NHAP_LIEU!$Z$5:$Z$10004,$AJ6)))</f>
        <v>1</v>
      </c>
      <c r="O6" s="21" t="n">
        <f aca="false">IF($AJ6="","",IF(INDEX(NHAP_LIEU!$AA$5:$AA$10004,$AJ6)="","",INDEX(NHAP_LIEU!$AA$5:$AA$10004,$AJ6)))</f>
        <v>46294</v>
      </c>
      <c r="P6" s="17" t="n">
        <f aca="false">IF($AJ6="","",IF(INDEX(NHAP_LIEU!$AB$5:$AB$10004,$AJ6)="","",INDEX(NHAP_LIEU!$AB$5:$AB$10004,$AJ6)))</f>
        <v>0</v>
      </c>
      <c r="Q6" s="17" t="n">
        <f aca="false">IF(C6="","",SUMIFS(MUC_TIEU_THANG!$C$5:$C$2004,MUC_TIEU_THANG!$B$5:$B$2004,C6,MUC_TIEU_THANG!$A$5:$A$2004,"&gt;="&amp;DATE(YEAR(A6),MONTH(A6),1),MUC_TIEU_THANG!$A$5:$A$2004,"&lt;"&amp;DATE(YEAR(A6),MONTH(A6)+1,1)))</f>
        <v>40000</v>
      </c>
      <c r="R6" s="17" t="n">
        <f aca="false">IF(C6="","",SUMIFS(NHAP_LIEU!$T$5:$T$10004,NHAP_LIEU!$C$5:$C$10004,C6,NHAP_LIEU!$A$5:$A$10004,"&gt;="&amp;DATE(YEAR(A6),MONTH(A6),1),NHAP_LIEU!$A$5:$A$10004,"&lt;="&amp;A6))</f>
        <v>2100</v>
      </c>
      <c r="S6" s="18" t="n">
        <f aca="false">IF(OR(R6="",N(Q6)=0),"",R6/Q6)</f>
        <v>0.0525</v>
      </c>
      <c r="T6" s="17" t="n">
        <f aca="false">IF(OR(R6="",N(Q6)=0),"",MAX(0,Q6-R6))</f>
        <v>37900</v>
      </c>
      <c r="U6" s="17" t="n">
        <f aca="false">IF(B6="","",SUMIFS(NHAP_LIEU!$T$5:$T$10004,NHAP_LIEU!$B$5:$B$10004,B6,NHAP_LIEU!$A$5:$A$10004,"&gt;="&amp;DATE(YEAR(A6),MONTH(A6),1),NHAP_LIEU!$A$5:$A$10004,"&lt;="&amp;A6))</f>
        <v>2100</v>
      </c>
      <c r="V6" s="17" t="n">
        <f aca="false">IF($AJ6="","",IF(INDEX(NHAP_LIEU!$H$5:$H$10004,$AJ6)="","",INDEX(NHAP_LIEU!$H$5:$H$10004,$AJ6)))</f>
        <v>100</v>
      </c>
      <c r="W6" s="17" t="n">
        <f aca="false">IF($AJ6="","",IF(INDEX(NHAP_LIEU!$I$5:$I$10004,$AJ6)="","",INDEX(NHAP_LIEU!$I$5:$I$10004,$AJ6)))</f>
        <v>100</v>
      </c>
      <c r="X6" s="17" t="str">
        <f aca="false">IF($AJ6="","",IF(INDEX(NHAP_LIEU!$J$5:$J$10004,$AJ6)="","",INDEX(NHAP_LIEU!$J$5:$J$10004,$AJ6)))</f>
        <v/>
      </c>
      <c r="Y6" s="17" t="str">
        <f aca="false">IF($AJ6="","",IF(INDEX(NHAP_LIEU!$K$5:$K$10004,$AJ6)="","",INDEX(NHAP_LIEU!$K$5:$K$10004,$AJ6)))</f>
        <v/>
      </c>
      <c r="Z6" s="17" t="str">
        <f aca="false">IF($AJ6="","",IF(INDEX(NHAP_LIEU!$L$5:$L$10004,$AJ6)="","",INDEX(NHAP_LIEU!$L$5:$L$10004,$AJ6)))</f>
        <v/>
      </c>
      <c r="AA6" s="17" t="str">
        <f aca="false">IF($AJ6="","",IF(INDEX(NHAP_LIEU!$M$5:$M$10004,$AJ6)="","",INDEX(NHAP_LIEU!$M$5:$M$10004,$AJ6)))</f>
        <v/>
      </c>
      <c r="AB6" s="17" t="str">
        <f aca="false">IF($AJ6="","",IF(INDEX(NHAP_LIEU!$N$5:$N$10004,$AJ6)="","",INDEX(NHAP_LIEU!$N$5:$N$10004,$AJ6)))</f>
        <v/>
      </c>
      <c r="AC6" s="17" t="str">
        <f aca="false">IF($AJ6="","",IF(INDEX(NHAP_LIEU!$O$5:$O$10004,$AJ6)="","",INDEX(NHAP_LIEU!$O$5:$O$10004,$AJ6)))</f>
        <v/>
      </c>
      <c r="AD6" s="17" t="str">
        <f aca="false">IF($AJ6="","",IF(INDEX(NHAP_LIEU!$P$5:$P$10004,$AJ6)="","",INDEX(NHAP_LIEU!$P$5:$P$10004,$AJ6)))</f>
        <v/>
      </c>
      <c r="AE6" s="17" t="str">
        <f aca="false">IF($AJ6="","",IF(INDEX(NHAP_LIEU!$Q$5:$Q$10004,$AJ6)="","",INDEX(NHAP_LIEU!$Q$5:$Q$10004,$AJ6)))</f>
        <v/>
      </c>
      <c r="AF6" s="17" t="str">
        <f aca="false">IF($AJ6="","",IF(INDEX(NHAP_LIEU!$R$5:$R$10004,$AJ6)="","",INDEX(NHAP_LIEU!$R$5:$R$10004,$AJ6)))</f>
        <v/>
      </c>
      <c r="AG6" s="17" t="str">
        <f aca="false">IF($AJ6="","",IF(INDEX(NHAP_LIEU!$S$5:$S$10004,$AJ6)="","",INDEX(NHAP_LIEU!$S$5:$S$10004,$AJ6)))</f>
        <v/>
      </c>
      <c r="AH6" s="22" t="str">
        <f aca="false">IF($AJ6="","",IF(INDEX(NHAP_LIEU!$AC$5:$AC$10004,$AJ6)="","",INDEX(NHAP_LIEU!$AC$5:$AC$10004,$AJ6)))</f>
        <v>Đang chạy</v>
      </c>
      <c r="AI6" s="22" t="str">
        <f aca="false">IF($AJ6="","",IF(INDEX(NHAP_LIEU!$AD$5:$AD$10004,$AJ6)="","",INDEX(NHAP_LIEU!$AD$5:$AD$10004,$AJ6)))</f>
        <v/>
      </c>
      <c r="AJ6" s="20" t="n">
        <f aca="false">IF(OR(B6="",A6=""),"",IFERROR(MATCH(B6&amp;"|"&amp;A6,NHAP_LIEU!$AF$5:$AF$10004,0),""))</f>
        <v>2</v>
      </c>
    </row>
    <row r="7" customFormat="false" ht="15" hidden="false" customHeight="false" outlineLevel="0" collapsed="false">
      <c r="A7" s="31" t="n">
        <f aca="false">IF(B7="","",$M$1)</f>
        <v>46295</v>
      </c>
      <c r="B7" s="22" t="str">
        <f aca="false">IF(DANH_SACH_CHUYEN!B7="","",DANH_SACH_CHUYEN!B7)</f>
        <v>Chuyền 3</v>
      </c>
      <c r="C7" s="32" t="str">
        <f aca="false">IF($AJ7="","",IF(INDEX(NHAP_LIEU!$C$5:$C$10004,$AJ7)="","",INDEX(NHAP_LIEU!$C$5:$C$10004,$AJ7)))</f>
        <v>883</v>
      </c>
      <c r="D7" s="22" t="str">
        <f aca="false">IF($AJ7="","",IF(INDEX(NHAP_LIEU!$D$5:$D$10004,$AJ7)="","",INDEX(NHAP_LIEU!$D$5:$D$10004,$AJ7)))</f>
        <v>11H30</v>
      </c>
      <c r="E7" s="13" t="n">
        <f aca="false">IF($AJ7="","",IF(INDEX(NHAP_LIEU!$F$5:$F$10004,$AJ7)="","",INDEX(NHAP_LIEU!$F$5:$F$10004,$AJ7)))</f>
        <v>11.5</v>
      </c>
      <c r="F7" s="17" t="n">
        <f aca="false">IF($AJ7="","",IF(INDEX(NHAP_LIEU!$E$5:$E$10004,$AJ7)="","",INDEX(NHAP_LIEU!$E$5:$E$10004,$AJ7)))</f>
        <v>185</v>
      </c>
      <c r="G7" s="17" t="n">
        <f aca="false">IF($AJ7="","",IF(INDEX(NHAP_LIEU!$G$5:$G$10004,$AJ7)="","",INDEX(NHAP_LIEU!$G$5:$G$10004,$AJ7)))</f>
        <v>2128</v>
      </c>
      <c r="H7" s="17" t="n">
        <f aca="false">IF($AJ7="","",IF(INDEX(NHAP_LIEU!$T$5:$T$10004,$AJ7)="","",INDEX(NHAP_LIEU!$T$5:$T$10004,$AJ7)))</f>
        <v>725</v>
      </c>
      <c r="I7" s="18" t="n">
        <f aca="false">IF($AJ7="","",IF(INDEX(NHAP_LIEU!$U$5:$U$10004,$AJ7)="","",INDEX(NHAP_LIEU!$U$5:$U$10004,$AJ7)))</f>
        <v>0.340695488721805</v>
      </c>
      <c r="J7" s="19" t="n">
        <f aca="false">IF($AJ7="","",IF(INDEX(NHAP_LIEU!$V$5:$V$10004,$AJ7)="","",INDEX(NHAP_LIEU!$V$5:$V$10004,$AJ7)))</f>
        <v>-1403</v>
      </c>
      <c r="K7" s="17" t="n">
        <f aca="false">IF($AJ7="","",IF(INDEX(NHAP_LIEU!$W$5:$W$10004,$AJ7)="","",INDEX(NHAP_LIEU!$W$5:$W$10004,$AJ7)))</f>
        <v>1403</v>
      </c>
      <c r="L7" s="20" t="n">
        <f aca="false">IF($AJ7="","",IF(INDEX(NHAP_LIEU!$X$5:$X$10004,$AJ7)="","",INDEX(NHAP_LIEU!$X$5:$X$10004,$AJ7)))</f>
        <v>4</v>
      </c>
      <c r="M7" s="17" t="n">
        <f aca="false">IF($AJ7="","",IF(INDEX(NHAP_LIEU!$Y$5:$Y$10004,$AJ7)="","",INDEX(NHAP_LIEU!$Y$5:$Y$10004,$AJ7)))</f>
        <v>740</v>
      </c>
      <c r="N7" s="18" t="n">
        <f aca="false">IF($AJ7="","",IF(INDEX(NHAP_LIEU!$Z$5:$Z$10004,$AJ7)="","",INDEX(NHAP_LIEU!$Z$5:$Z$10004,$AJ7)))</f>
        <v>0.97972972972973</v>
      </c>
      <c r="O7" s="21" t="n">
        <f aca="false">IF($AJ7="","",IF(INDEX(NHAP_LIEU!$AA$5:$AA$10004,$AJ7)="","",INDEX(NHAP_LIEU!$AA$5:$AA$10004,$AJ7)))</f>
        <v>46294</v>
      </c>
      <c r="P7" s="17" t="n">
        <f aca="false">IF($AJ7="","",IF(INDEX(NHAP_LIEU!$AB$5:$AB$10004,$AJ7)="","",INDEX(NHAP_LIEU!$AB$5:$AB$10004,$AJ7)))</f>
        <v>0</v>
      </c>
      <c r="Q7" s="17" t="n">
        <f aca="false">IF(C7="","",SUMIFS(MUC_TIEU_THANG!$C$5:$C$2004,MUC_TIEU_THANG!$B$5:$B$2004,C7,MUC_TIEU_THANG!$A$5:$A$2004,"&gt;="&amp;DATE(YEAR(A7),MONTH(A7),1),MUC_TIEU_THANG!$A$5:$A$2004,"&lt;"&amp;DATE(YEAR(A7),MONTH(A7)+1,1)))</f>
        <v>50000</v>
      </c>
      <c r="R7" s="17" t="n">
        <f aca="false">IF(C7="","",SUMIFS(NHAP_LIEU!$T$5:$T$10004,NHAP_LIEU!$C$5:$C$10004,C7,NHAP_LIEU!$A$5:$A$10004,"&gt;="&amp;DATE(YEAR(A7),MONTH(A7),1),NHAP_LIEU!$A$5:$A$10004,"&lt;="&amp;A7))</f>
        <v>2950</v>
      </c>
      <c r="S7" s="18" t="n">
        <f aca="false">IF(OR(R7="",N(Q7)=0),"",R7/Q7)</f>
        <v>0.059</v>
      </c>
      <c r="T7" s="17" t="n">
        <f aca="false">IF(OR(R7="",N(Q7)=0),"",MAX(0,Q7-R7))</f>
        <v>47050</v>
      </c>
      <c r="U7" s="17" t="n">
        <f aca="false">IF(B7="","",SUMIFS(NHAP_LIEU!$T$5:$T$10004,NHAP_LIEU!$B$5:$B$10004,B7,NHAP_LIEU!$A$5:$A$10004,"&gt;="&amp;DATE(YEAR(A7),MONTH(A7),1),NHAP_LIEU!$A$5:$A$10004,"&lt;="&amp;A7))</f>
        <v>2945</v>
      </c>
      <c r="V7" s="17" t="n">
        <f aca="false">IF($AJ7="","",IF(INDEX(NHAP_LIEU!$H$5:$H$10004,$AJ7)="","",INDEX(NHAP_LIEU!$H$5:$H$10004,$AJ7)))</f>
        <v>180</v>
      </c>
      <c r="W7" s="17" t="n">
        <f aca="false">IF($AJ7="","",IF(INDEX(NHAP_LIEU!$I$5:$I$10004,$AJ7)="","",INDEX(NHAP_LIEU!$I$5:$I$10004,$AJ7)))</f>
        <v>185</v>
      </c>
      <c r="X7" s="17" t="n">
        <f aca="false">IF($AJ7="","",IF(INDEX(NHAP_LIEU!$J$5:$J$10004,$AJ7)="","",INDEX(NHAP_LIEU!$J$5:$J$10004,$AJ7)))</f>
        <v>190</v>
      </c>
      <c r="Y7" s="17" t="n">
        <f aca="false">IF($AJ7="","",IF(INDEX(NHAP_LIEU!$K$5:$K$10004,$AJ7)="","",INDEX(NHAP_LIEU!$K$5:$K$10004,$AJ7)))</f>
        <v>170</v>
      </c>
      <c r="Z7" s="17" t="str">
        <f aca="false">IF($AJ7="","",IF(INDEX(NHAP_LIEU!$L$5:$L$10004,$AJ7)="","",INDEX(NHAP_LIEU!$L$5:$L$10004,$AJ7)))</f>
        <v/>
      </c>
      <c r="AA7" s="17" t="str">
        <f aca="false">IF($AJ7="","",IF(INDEX(NHAP_LIEU!$M$5:$M$10004,$AJ7)="","",INDEX(NHAP_LIEU!$M$5:$M$10004,$AJ7)))</f>
        <v/>
      </c>
      <c r="AB7" s="17" t="str">
        <f aca="false">IF($AJ7="","",IF(INDEX(NHAP_LIEU!$N$5:$N$10004,$AJ7)="","",INDEX(NHAP_LIEU!$N$5:$N$10004,$AJ7)))</f>
        <v/>
      </c>
      <c r="AC7" s="17" t="str">
        <f aca="false">IF($AJ7="","",IF(INDEX(NHAP_LIEU!$O$5:$O$10004,$AJ7)="","",INDEX(NHAP_LIEU!$O$5:$O$10004,$AJ7)))</f>
        <v/>
      </c>
      <c r="AD7" s="17" t="str">
        <f aca="false">IF($AJ7="","",IF(INDEX(NHAP_LIEU!$P$5:$P$10004,$AJ7)="","",INDEX(NHAP_LIEU!$P$5:$P$10004,$AJ7)))</f>
        <v/>
      </c>
      <c r="AE7" s="17" t="str">
        <f aca="false">IF($AJ7="","",IF(INDEX(NHAP_LIEU!$Q$5:$Q$10004,$AJ7)="","",INDEX(NHAP_LIEU!$Q$5:$Q$10004,$AJ7)))</f>
        <v/>
      </c>
      <c r="AF7" s="17" t="str">
        <f aca="false">IF($AJ7="","",IF(INDEX(NHAP_LIEU!$R$5:$R$10004,$AJ7)="","",INDEX(NHAP_LIEU!$R$5:$R$10004,$AJ7)))</f>
        <v/>
      </c>
      <c r="AG7" s="17" t="str">
        <f aca="false">IF($AJ7="","",IF(INDEX(NHAP_LIEU!$S$5:$S$10004,$AJ7)="","",INDEX(NHAP_LIEU!$S$5:$S$10004,$AJ7)))</f>
        <v/>
      </c>
      <c r="AH7" s="22" t="str">
        <f aca="false">IF($AJ7="","",IF(INDEX(NHAP_LIEU!$AC$5:$AC$10004,$AJ7)="","",INDEX(NHAP_LIEU!$AC$5:$AC$10004,$AJ7)))</f>
        <v>Đang chạy</v>
      </c>
      <c r="AI7" s="22" t="str">
        <f aca="false">IF($AJ7="","",IF(INDEX(NHAP_LIEU!$AD$5:$AD$10004,$AJ7)="","",INDEX(NHAP_LIEU!$AD$5:$AD$10004,$AJ7)))</f>
        <v/>
      </c>
      <c r="AJ7" s="20" t="n">
        <f aca="false">IF(OR(B7="",A7=""),"",IFERROR(MATCH(B7&amp;"|"&amp;A7,NHAP_LIEU!$AF$5:$AF$10004,0),""))</f>
        <v>3</v>
      </c>
    </row>
    <row r="8" customFormat="false" ht="15" hidden="false" customHeight="false" outlineLevel="0" collapsed="false">
      <c r="A8" s="31" t="n">
        <f aca="false">IF(B8="","",$M$1)</f>
        <v>46295</v>
      </c>
      <c r="B8" s="22" t="str">
        <f aca="false">IF(DANH_SACH_CHUYEN!B8="","",DANH_SACH_CHUYEN!B8)</f>
        <v>Chuyền 4</v>
      </c>
      <c r="C8" s="32" t="str">
        <f aca="false">IF($AJ8="","",IF(INDEX(NHAP_LIEU!$C$5:$C$10004,$AJ8)="","",INDEX(NHAP_LIEU!$C$5:$C$10004,$AJ8)))</f>
        <v>MÃ 9H</v>
      </c>
      <c r="D8" s="22" t="str">
        <f aca="false">IF($AJ8="","",IF(INDEX(NHAP_LIEU!$D$5:$D$10004,$AJ8)="","",INDEX(NHAP_LIEU!$D$5:$D$10004,$AJ8)))</f>
        <v>9H</v>
      </c>
      <c r="E8" s="13" t="n">
        <f aca="false">IF($AJ8="","",IF(INDEX(NHAP_LIEU!$F$5:$F$10004,$AJ8)="","",INDEX(NHAP_LIEU!$F$5:$F$10004,$AJ8)))</f>
        <v>9</v>
      </c>
      <c r="F8" s="17" t="n">
        <f aca="false">IF($AJ8="","",IF(INDEX(NHAP_LIEU!$E$5:$E$10004,$AJ8)="","",INDEX(NHAP_LIEU!$E$5:$E$10004,$AJ8)))</f>
        <v>100</v>
      </c>
      <c r="G8" s="17" t="n">
        <f aca="false">IF($AJ8="","",IF(INDEX(NHAP_LIEU!$G$5:$G$10004,$AJ8)="","",INDEX(NHAP_LIEU!$G$5:$G$10004,$AJ8)))</f>
        <v>900</v>
      </c>
      <c r="H8" s="17" t="str">
        <f aca="false">IF($AJ8="","",IF(INDEX(NHAP_LIEU!$T$5:$T$10004,$AJ8)="","",INDEX(NHAP_LIEU!$T$5:$T$10004,$AJ8)))</f>
        <v/>
      </c>
      <c r="I8" s="18" t="str">
        <f aca="false">IF($AJ8="","",IF(INDEX(NHAP_LIEU!$U$5:$U$10004,$AJ8)="","",INDEX(NHAP_LIEU!$U$5:$U$10004,$AJ8)))</f>
        <v/>
      </c>
      <c r="J8" s="19" t="str">
        <f aca="false">IF($AJ8="","",IF(INDEX(NHAP_LIEU!$V$5:$V$10004,$AJ8)="","",INDEX(NHAP_LIEU!$V$5:$V$10004,$AJ8)))</f>
        <v/>
      </c>
      <c r="K8" s="17" t="str">
        <f aca="false">IF($AJ8="","",IF(INDEX(NHAP_LIEU!$W$5:$W$10004,$AJ8)="","",INDEX(NHAP_LIEU!$W$5:$W$10004,$AJ8)))</f>
        <v/>
      </c>
      <c r="L8" s="20" t="n">
        <f aca="false">IF($AJ8="","",IF(INDEX(NHAP_LIEU!$X$5:$X$10004,$AJ8)="","",INDEX(NHAP_LIEU!$X$5:$X$10004,$AJ8)))</f>
        <v>0</v>
      </c>
      <c r="M8" s="17" t="n">
        <f aca="false">IF($AJ8="","",IF(INDEX(NHAP_LIEU!$Y$5:$Y$10004,$AJ8)="","",INDEX(NHAP_LIEU!$Y$5:$Y$10004,$AJ8)))</f>
        <v>0</v>
      </c>
      <c r="N8" s="18" t="str">
        <f aca="false">IF($AJ8="","",IF(INDEX(NHAP_LIEU!$Z$5:$Z$10004,$AJ8)="","",INDEX(NHAP_LIEU!$Z$5:$Z$10004,$AJ8)))</f>
        <v/>
      </c>
      <c r="O8" s="21" t="str">
        <f aca="false">IF($AJ8="","",IF(INDEX(NHAP_LIEU!$AA$5:$AA$10004,$AJ8)="","",INDEX(NHAP_LIEU!$AA$5:$AA$10004,$AJ8)))</f>
        <v/>
      </c>
      <c r="P8" s="17" t="str">
        <f aca="false">IF($AJ8="","",IF(INDEX(NHAP_LIEU!$AB$5:$AB$10004,$AJ8)="","",INDEX(NHAP_LIEU!$AB$5:$AB$10004,$AJ8)))</f>
        <v/>
      </c>
      <c r="Q8" s="17" t="n">
        <f aca="false">IF(C8="","",SUMIFS(MUC_TIEU_THANG!$C$5:$C$2004,MUC_TIEU_THANG!$B$5:$B$2004,C8,MUC_TIEU_THANG!$A$5:$A$2004,"&gt;="&amp;DATE(YEAR(A8),MONTH(A8),1),MUC_TIEU_THANG!$A$5:$A$2004,"&lt;"&amp;DATE(YEAR(A8),MONTH(A8)+1,1)))</f>
        <v>0</v>
      </c>
      <c r="R8" s="17" t="n">
        <f aca="false">IF(C8="","",SUMIFS(NHAP_LIEU!$T$5:$T$10004,NHAP_LIEU!$C$5:$C$10004,C8,NHAP_LIEU!$A$5:$A$10004,"&gt;="&amp;DATE(YEAR(A8),MONTH(A8),1),NHAP_LIEU!$A$5:$A$10004,"&lt;="&amp;A8))</f>
        <v>0</v>
      </c>
      <c r="S8" s="18" t="str">
        <f aca="false">IF(OR(R8="",N(Q8)=0),"",R8/Q8)</f>
        <v/>
      </c>
      <c r="T8" s="17" t="str">
        <f aca="false">IF(OR(R8="",N(Q8)=0),"",MAX(0,Q8-R8))</f>
        <v/>
      </c>
      <c r="U8" s="17" t="n">
        <f aca="false">IF(B8="","",SUMIFS(NHAP_LIEU!$T$5:$T$10004,NHAP_LIEU!$B$5:$B$10004,B8,NHAP_LIEU!$A$5:$A$10004,"&gt;="&amp;DATE(YEAR(A8),MONTH(A8),1),NHAP_LIEU!$A$5:$A$10004,"&lt;="&amp;A8))</f>
        <v>0</v>
      </c>
      <c r="V8" s="17" t="str">
        <f aca="false">IF($AJ8="","",IF(INDEX(NHAP_LIEU!$H$5:$H$10004,$AJ8)="","",INDEX(NHAP_LIEU!$H$5:$H$10004,$AJ8)))</f>
        <v/>
      </c>
      <c r="W8" s="17" t="str">
        <f aca="false">IF($AJ8="","",IF(INDEX(NHAP_LIEU!$I$5:$I$10004,$AJ8)="","",INDEX(NHAP_LIEU!$I$5:$I$10004,$AJ8)))</f>
        <v/>
      </c>
      <c r="X8" s="17" t="str">
        <f aca="false">IF($AJ8="","",IF(INDEX(NHAP_LIEU!$J$5:$J$10004,$AJ8)="","",INDEX(NHAP_LIEU!$J$5:$J$10004,$AJ8)))</f>
        <v/>
      </c>
      <c r="Y8" s="17" t="str">
        <f aca="false">IF($AJ8="","",IF(INDEX(NHAP_LIEU!$K$5:$K$10004,$AJ8)="","",INDEX(NHAP_LIEU!$K$5:$K$10004,$AJ8)))</f>
        <v/>
      </c>
      <c r="Z8" s="17" t="str">
        <f aca="false">IF($AJ8="","",IF(INDEX(NHAP_LIEU!$L$5:$L$10004,$AJ8)="","",INDEX(NHAP_LIEU!$L$5:$L$10004,$AJ8)))</f>
        <v/>
      </c>
      <c r="AA8" s="17" t="str">
        <f aca="false">IF($AJ8="","",IF(INDEX(NHAP_LIEU!$M$5:$M$10004,$AJ8)="","",INDEX(NHAP_LIEU!$M$5:$M$10004,$AJ8)))</f>
        <v/>
      </c>
      <c r="AB8" s="17" t="str">
        <f aca="false">IF($AJ8="","",IF(INDEX(NHAP_LIEU!$N$5:$N$10004,$AJ8)="","",INDEX(NHAP_LIEU!$N$5:$N$10004,$AJ8)))</f>
        <v/>
      </c>
      <c r="AC8" s="17" t="str">
        <f aca="false">IF($AJ8="","",IF(INDEX(NHAP_LIEU!$O$5:$O$10004,$AJ8)="","",INDEX(NHAP_LIEU!$O$5:$O$10004,$AJ8)))</f>
        <v/>
      </c>
      <c r="AD8" s="17" t="str">
        <f aca="false">IF($AJ8="","",IF(INDEX(NHAP_LIEU!$P$5:$P$10004,$AJ8)="","",INDEX(NHAP_LIEU!$P$5:$P$10004,$AJ8)))</f>
        <v/>
      </c>
      <c r="AE8" s="17" t="str">
        <f aca="false">IF($AJ8="","",IF(INDEX(NHAP_LIEU!$Q$5:$Q$10004,$AJ8)="","",INDEX(NHAP_LIEU!$Q$5:$Q$10004,$AJ8)))</f>
        <v/>
      </c>
      <c r="AF8" s="17" t="str">
        <f aca="false">IF($AJ8="","",IF(INDEX(NHAP_LIEU!$R$5:$R$10004,$AJ8)="","",INDEX(NHAP_LIEU!$R$5:$R$10004,$AJ8)))</f>
        <v/>
      </c>
      <c r="AG8" s="17" t="str">
        <f aca="false">IF($AJ8="","",IF(INDEX(NHAP_LIEU!$S$5:$S$10004,$AJ8)="","",INDEX(NHAP_LIEU!$S$5:$S$10004,$AJ8)))</f>
        <v/>
      </c>
      <c r="AH8" s="22" t="str">
        <f aca="false">IF($AJ8="","",IF(INDEX(NHAP_LIEU!$AC$5:$AC$10004,$AJ8)="","",INDEX(NHAP_LIEU!$AC$5:$AC$10004,$AJ8)))</f>
        <v>Đang chạy</v>
      </c>
      <c r="AI8" s="22" t="str">
        <f aca="false">IF($AJ8="","",IF(INDEX(NHAP_LIEU!$AD$5:$AD$10004,$AJ8)="","",INDEX(NHAP_LIEU!$AD$5:$AD$10004,$AJ8)))</f>
        <v/>
      </c>
      <c r="AJ8" s="20" t="n">
        <f aca="false">IF(OR(B8="",A8=""),"",IFERROR(MATCH(B8&amp;"|"&amp;A8,NHAP_LIEU!$AF$5:$AF$10004,0),""))</f>
        <v>4</v>
      </c>
    </row>
    <row r="9" customFormat="false" ht="15" hidden="false" customHeight="false" outlineLevel="0" collapsed="false">
      <c r="A9" s="31" t="n">
        <f aca="false">IF(B9="","",$M$1)</f>
        <v>46295</v>
      </c>
      <c r="B9" s="22" t="str">
        <f aca="false">IF(DANH_SACH_CHUYEN!B9="","",DANH_SACH_CHUYEN!B9)</f>
        <v>Chuyền 5</v>
      </c>
      <c r="C9" s="32" t="str">
        <f aca="false">IF($AJ9="","",IF(INDEX(NHAP_LIEU!$C$5:$C$10004,$AJ9)="","",INDEX(NHAP_LIEU!$C$5:$C$10004,$AJ9)))</f>
        <v>883</v>
      </c>
      <c r="D9" s="22" t="str">
        <f aca="false">IF($AJ9="","",IF(INDEX(NHAP_LIEU!$D$5:$D$10004,$AJ9)="","",INDEX(NHAP_LIEU!$D$5:$D$10004,$AJ9)))</f>
        <v>8H</v>
      </c>
      <c r="E9" s="13" t="n">
        <f aca="false">IF($AJ9="","",IF(INDEX(NHAP_LIEU!$F$5:$F$10004,$AJ9)="","",INDEX(NHAP_LIEU!$F$5:$F$10004,$AJ9)))</f>
        <v>8</v>
      </c>
      <c r="F9" s="17" t="n">
        <f aca="false">IF($AJ9="","",IF(INDEX(NHAP_LIEU!$E$5:$E$10004,$AJ9)="","",INDEX(NHAP_LIEU!$E$5:$E$10004,$AJ9)))</f>
        <v>10</v>
      </c>
      <c r="G9" s="17" t="n">
        <f aca="false">IF($AJ9="","",IF(INDEX(NHAP_LIEU!$G$5:$G$10004,$AJ9)="","",INDEX(NHAP_LIEU!$G$5:$G$10004,$AJ9)))</f>
        <v>80</v>
      </c>
      <c r="H9" s="17" t="str">
        <f aca="false">IF($AJ9="","",IF(INDEX(NHAP_LIEU!$T$5:$T$10004,$AJ9)="","",INDEX(NHAP_LIEU!$T$5:$T$10004,$AJ9)))</f>
        <v/>
      </c>
      <c r="I9" s="18" t="str">
        <f aca="false">IF($AJ9="","",IF(INDEX(NHAP_LIEU!$U$5:$U$10004,$AJ9)="","",INDEX(NHAP_LIEU!$U$5:$U$10004,$AJ9)))</f>
        <v/>
      </c>
      <c r="J9" s="19" t="str">
        <f aca="false">IF($AJ9="","",IF(INDEX(NHAP_LIEU!$V$5:$V$10004,$AJ9)="","",INDEX(NHAP_LIEU!$V$5:$V$10004,$AJ9)))</f>
        <v/>
      </c>
      <c r="K9" s="17" t="str">
        <f aca="false">IF($AJ9="","",IF(INDEX(NHAP_LIEU!$W$5:$W$10004,$AJ9)="","",INDEX(NHAP_LIEU!$W$5:$W$10004,$AJ9)))</f>
        <v/>
      </c>
      <c r="L9" s="20" t="n">
        <f aca="false">IF($AJ9="","",IF(INDEX(NHAP_LIEU!$X$5:$X$10004,$AJ9)="","",INDEX(NHAP_LIEU!$X$5:$X$10004,$AJ9)))</f>
        <v>0</v>
      </c>
      <c r="M9" s="17" t="n">
        <f aca="false">IF($AJ9="","",IF(INDEX(NHAP_LIEU!$Y$5:$Y$10004,$AJ9)="","",INDEX(NHAP_LIEU!$Y$5:$Y$10004,$AJ9)))</f>
        <v>0</v>
      </c>
      <c r="N9" s="18" t="str">
        <f aca="false">IF($AJ9="","",IF(INDEX(NHAP_LIEU!$Z$5:$Z$10004,$AJ9)="","",INDEX(NHAP_LIEU!$Z$5:$Z$10004,$AJ9)))</f>
        <v/>
      </c>
      <c r="O9" s="21" t="str">
        <f aca="false">IF($AJ9="","",IF(INDEX(NHAP_LIEU!$AA$5:$AA$10004,$AJ9)="","",INDEX(NHAP_LIEU!$AA$5:$AA$10004,$AJ9)))</f>
        <v/>
      </c>
      <c r="P9" s="17" t="str">
        <f aca="false">IF($AJ9="","",IF(INDEX(NHAP_LIEU!$AB$5:$AB$10004,$AJ9)="","",INDEX(NHAP_LIEU!$AB$5:$AB$10004,$AJ9)))</f>
        <v/>
      </c>
      <c r="Q9" s="17" t="n">
        <f aca="false">IF(C9="","",SUMIFS(MUC_TIEU_THANG!$C$5:$C$2004,MUC_TIEU_THANG!$B$5:$B$2004,C9,MUC_TIEU_THANG!$A$5:$A$2004,"&gt;="&amp;DATE(YEAR(A9),MONTH(A9),1),MUC_TIEU_THANG!$A$5:$A$2004,"&lt;"&amp;DATE(YEAR(A9),MONTH(A9)+1,1)))</f>
        <v>50000</v>
      </c>
      <c r="R9" s="17" t="n">
        <f aca="false">IF(C9="","",SUMIFS(NHAP_LIEU!$T$5:$T$10004,NHAP_LIEU!$C$5:$C$10004,C9,NHAP_LIEU!$A$5:$A$10004,"&gt;="&amp;DATE(YEAR(A9),MONTH(A9),1),NHAP_LIEU!$A$5:$A$10004,"&lt;="&amp;A9))</f>
        <v>2950</v>
      </c>
      <c r="S9" s="18" t="n">
        <f aca="false">IF(OR(R9="",N(Q9)=0),"",R9/Q9)</f>
        <v>0.059</v>
      </c>
      <c r="T9" s="17" t="n">
        <f aca="false">IF(OR(R9="",N(Q9)=0),"",MAX(0,Q9-R9))</f>
        <v>47050</v>
      </c>
      <c r="U9" s="17" t="n">
        <f aca="false">IF(B9="","",SUMIFS(NHAP_LIEU!$T$5:$T$10004,NHAP_LIEU!$B$5:$B$10004,B9,NHAP_LIEU!$A$5:$A$10004,"&gt;="&amp;DATE(YEAR(A9),MONTH(A9),1),NHAP_LIEU!$A$5:$A$10004,"&lt;="&amp;A9))</f>
        <v>5</v>
      </c>
      <c r="V9" s="17" t="str">
        <f aca="false">IF($AJ9="","",IF(INDEX(NHAP_LIEU!$H$5:$H$10004,$AJ9)="","",INDEX(NHAP_LIEU!$H$5:$H$10004,$AJ9)))</f>
        <v/>
      </c>
      <c r="W9" s="17" t="str">
        <f aca="false">IF($AJ9="","",IF(INDEX(NHAP_LIEU!$I$5:$I$10004,$AJ9)="","",INDEX(NHAP_LIEU!$I$5:$I$10004,$AJ9)))</f>
        <v/>
      </c>
      <c r="X9" s="17" t="str">
        <f aca="false">IF($AJ9="","",IF(INDEX(NHAP_LIEU!$J$5:$J$10004,$AJ9)="","",INDEX(NHAP_LIEU!$J$5:$J$10004,$AJ9)))</f>
        <v/>
      </c>
      <c r="Y9" s="17" t="str">
        <f aca="false">IF($AJ9="","",IF(INDEX(NHAP_LIEU!$K$5:$K$10004,$AJ9)="","",INDEX(NHAP_LIEU!$K$5:$K$10004,$AJ9)))</f>
        <v/>
      </c>
      <c r="Z9" s="17" t="str">
        <f aca="false">IF($AJ9="","",IF(INDEX(NHAP_LIEU!$L$5:$L$10004,$AJ9)="","",INDEX(NHAP_LIEU!$L$5:$L$10004,$AJ9)))</f>
        <v/>
      </c>
      <c r="AA9" s="17" t="str">
        <f aca="false">IF($AJ9="","",IF(INDEX(NHAP_LIEU!$M$5:$M$10004,$AJ9)="","",INDEX(NHAP_LIEU!$M$5:$M$10004,$AJ9)))</f>
        <v/>
      </c>
      <c r="AB9" s="17" t="str">
        <f aca="false">IF($AJ9="","",IF(INDEX(NHAP_LIEU!$N$5:$N$10004,$AJ9)="","",INDEX(NHAP_LIEU!$N$5:$N$10004,$AJ9)))</f>
        <v/>
      </c>
      <c r="AC9" s="17" t="str">
        <f aca="false">IF($AJ9="","",IF(INDEX(NHAP_LIEU!$O$5:$O$10004,$AJ9)="","",INDEX(NHAP_LIEU!$O$5:$O$10004,$AJ9)))</f>
        <v/>
      </c>
      <c r="AD9" s="17" t="str">
        <f aca="false">IF($AJ9="","",IF(INDEX(NHAP_LIEU!$P$5:$P$10004,$AJ9)="","",INDEX(NHAP_LIEU!$P$5:$P$10004,$AJ9)))</f>
        <v/>
      </c>
      <c r="AE9" s="17" t="str">
        <f aca="false">IF($AJ9="","",IF(INDEX(NHAP_LIEU!$Q$5:$Q$10004,$AJ9)="","",INDEX(NHAP_LIEU!$Q$5:$Q$10004,$AJ9)))</f>
        <v/>
      </c>
      <c r="AF9" s="17" t="str">
        <f aca="false">IF($AJ9="","",IF(INDEX(NHAP_LIEU!$R$5:$R$10004,$AJ9)="","",INDEX(NHAP_LIEU!$R$5:$R$10004,$AJ9)))</f>
        <v/>
      </c>
      <c r="AG9" s="17" t="str">
        <f aca="false">IF($AJ9="","",IF(INDEX(NHAP_LIEU!$S$5:$S$10004,$AJ9)="","",INDEX(NHAP_LIEU!$S$5:$S$10004,$AJ9)))</f>
        <v/>
      </c>
      <c r="AH9" s="22" t="str">
        <f aca="false">IF($AJ9="","",IF(INDEX(NHAP_LIEU!$AC$5:$AC$10004,$AJ9)="","",INDEX(NHAP_LIEU!$AC$5:$AC$10004,$AJ9)))</f>
        <v/>
      </c>
      <c r="AI9" s="22" t="str">
        <f aca="false">IF($AJ9="","",IF(INDEX(NHAP_LIEU!$AD$5:$AD$10004,$AJ9)="","",INDEX(NHAP_LIEU!$AD$5:$AD$10004,$AJ9)))</f>
        <v/>
      </c>
      <c r="AJ9" s="20" t="n">
        <f aca="false">IF(OR(B9="",A9=""),"",IFERROR(MATCH(B9&amp;"|"&amp;A9,NHAP_LIEU!$AF$5:$AF$10004,0),""))</f>
        <v>11</v>
      </c>
    </row>
    <row r="10" customFormat="false" ht="15" hidden="false" customHeight="false" outlineLevel="0" collapsed="false">
      <c r="A10" s="31" t="n">
        <f aca="false">IF(B10="","",$M$1)</f>
        <v>46295</v>
      </c>
      <c r="B10" s="22" t="str">
        <f aca="false">IF(DANH_SACH_CHUYEN!B10="","",DANH_SACH_CHUYEN!B10)</f>
        <v>Chuyền 6</v>
      </c>
      <c r="C10" s="32" t="str">
        <f aca="false">IF($AJ10="","",IF(INDEX(NHAP_LIEU!$C$5:$C$10004,$AJ10)="","",INDEX(NHAP_LIEU!$C$5:$C$10004,$AJ10)))</f>
        <v>567</v>
      </c>
      <c r="D10" s="22" t="str">
        <f aca="false">IF($AJ10="","",IF(INDEX(NHAP_LIEU!$D$5:$D$10004,$AJ10)="","",INDEX(NHAP_LIEU!$D$5:$D$10004,$AJ10)))</f>
        <v>10H</v>
      </c>
      <c r="E10" s="13" t="n">
        <f aca="false">IF($AJ10="","",IF(INDEX(NHAP_LIEU!$F$5:$F$10004,$AJ10)="","",INDEX(NHAP_LIEU!$F$5:$F$10004,$AJ10)))</f>
        <v>10</v>
      </c>
      <c r="F10" s="17" t="n">
        <f aca="false">IF($AJ10="","",IF(INDEX(NHAP_LIEU!$E$5:$E$10004,$AJ10)="","",INDEX(NHAP_LIEU!$E$5:$E$10004,$AJ10)))</f>
        <v>40</v>
      </c>
      <c r="G10" s="17" t="n">
        <f aca="false">IF($AJ10="","",IF(INDEX(NHAP_LIEU!$G$5:$G$10004,$AJ10)="","",INDEX(NHAP_LIEU!$G$5:$G$10004,$AJ10)))</f>
        <v>400</v>
      </c>
      <c r="H10" s="17" t="n">
        <f aca="false">IF($AJ10="","",IF(INDEX(NHAP_LIEU!$T$5:$T$10004,$AJ10)="","",INDEX(NHAP_LIEU!$T$5:$T$10004,$AJ10)))</f>
        <v>200</v>
      </c>
      <c r="I10" s="18" t="n">
        <f aca="false">IF($AJ10="","",IF(INDEX(NHAP_LIEU!$U$5:$U$10004,$AJ10)="","",INDEX(NHAP_LIEU!$U$5:$U$10004,$AJ10)))</f>
        <v>0.5</v>
      </c>
      <c r="J10" s="19" t="n">
        <f aca="false">IF($AJ10="","",IF(INDEX(NHAP_LIEU!$V$5:$V$10004,$AJ10)="","",INDEX(NHAP_LIEU!$V$5:$V$10004,$AJ10)))</f>
        <v>-200</v>
      </c>
      <c r="K10" s="17" t="n">
        <f aca="false">IF($AJ10="","",IF(INDEX(NHAP_LIEU!$W$5:$W$10004,$AJ10)="","",INDEX(NHAP_LIEU!$W$5:$W$10004,$AJ10)))</f>
        <v>200</v>
      </c>
      <c r="L10" s="20" t="n">
        <f aca="false">IF($AJ10="","",IF(INDEX(NHAP_LIEU!$X$5:$X$10004,$AJ10)="","",INDEX(NHAP_LIEU!$X$5:$X$10004,$AJ10)))</f>
        <v>5</v>
      </c>
      <c r="M10" s="17" t="n">
        <f aca="false">IF($AJ10="","",IF(INDEX(NHAP_LIEU!$Y$5:$Y$10004,$AJ10)="","",INDEX(NHAP_LIEU!$Y$5:$Y$10004,$AJ10)))</f>
        <v>200</v>
      </c>
      <c r="N10" s="18" t="n">
        <f aca="false">IF($AJ10="","",IF(INDEX(NHAP_LIEU!$Z$5:$Z$10004,$AJ10)="","",INDEX(NHAP_LIEU!$Z$5:$Z$10004,$AJ10)))</f>
        <v>1</v>
      </c>
      <c r="O10" s="21" t="n">
        <f aca="false">IF($AJ10="","",IF(INDEX(NHAP_LIEU!$AA$5:$AA$10004,$AJ10)="","",INDEX(NHAP_LIEU!$AA$5:$AA$10004,$AJ10)))</f>
        <v>46294</v>
      </c>
      <c r="P10" s="17" t="n">
        <f aca="false">IF($AJ10="","",IF(INDEX(NHAP_LIEU!$AB$5:$AB$10004,$AJ10)="","",INDEX(NHAP_LIEU!$AB$5:$AB$10004,$AJ10)))</f>
        <v>0</v>
      </c>
      <c r="Q10" s="17" t="n">
        <f aca="false">IF(C10="","",SUMIFS(MUC_TIEU_THANG!$C$5:$C$2004,MUC_TIEU_THANG!$B$5:$B$2004,C10,MUC_TIEU_THANG!$A$5:$A$2004,"&gt;="&amp;DATE(YEAR(A10),MONTH(A10),1),MUC_TIEU_THANG!$A$5:$A$2004,"&lt;"&amp;DATE(YEAR(A10),MONTH(A10)+1,1)))</f>
        <v>100000</v>
      </c>
      <c r="R10" s="17" t="n">
        <f aca="false">IF(C10="","",SUMIFS(NHAP_LIEU!$T$5:$T$10004,NHAP_LIEU!$C$5:$C$10004,C10,NHAP_LIEU!$A$5:$A$10004,"&gt;="&amp;DATE(YEAR(A10),MONTH(A10),1),NHAP_LIEU!$A$5:$A$10004,"&lt;="&amp;A10))</f>
        <v>700</v>
      </c>
      <c r="S10" s="18" t="n">
        <f aca="false">IF(OR(R10="",N(Q10)=0),"",R10/Q10)</f>
        <v>0.007</v>
      </c>
      <c r="T10" s="17" t="n">
        <f aca="false">IF(OR(R10="",N(Q10)=0),"",MAX(0,Q10-R10))</f>
        <v>99300</v>
      </c>
      <c r="U10" s="17" t="n">
        <f aca="false">IF(B10="","",SUMIFS(NHAP_LIEU!$T$5:$T$10004,NHAP_LIEU!$B$5:$B$10004,B10,NHAP_LIEU!$A$5:$A$10004,"&gt;="&amp;DATE(YEAR(A10),MONTH(A10),1),NHAP_LIEU!$A$5:$A$10004,"&lt;="&amp;A10))</f>
        <v>700</v>
      </c>
      <c r="V10" s="17" t="n">
        <f aca="false">IF($AJ10="","",IF(INDEX(NHAP_LIEU!$H$5:$H$10004,$AJ10)="","",INDEX(NHAP_LIEU!$H$5:$H$10004,$AJ10)))</f>
        <v>40</v>
      </c>
      <c r="W10" s="17" t="n">
        <f aca="false">IF($AJ10="","",IF(INDEX(NHAP_LIEU!$I$5:$I$10004,$AJ10)="","",INDEX(NHAP_LIEU!$I$5:$I$10004,$AJ10)))</f>
        <v>40</v>
      </c>
      <c r="X10" s="17" t="n">
        <f aca="false">IF($AJ10="","",IF(INDEX(NHAP_LIEU!$J$5:$J$10004,$AJ10)="","",INDEX(NHAP_LIEU!$J$5:$J$10004,$AJ10)))</f>
        <v>40</v>
      </c>
      <c r="Y10" s="17" t="n">
        <f aca="false">IF($AJ10="","",IF(INDEX(NHAP_LIEU!$K$5:$K$10004,$AJ10)="","",INDEX(NHAP_LIEU!$K$5:$K$10004,$AJ10)))</f>
        <v>40</v>
      </c>
      <c r="Z10" s="17" t="n">
        <f aca="false">IF($AJ10="","",IF(INDEX(NHAP_LIEU!$L$5:$L$10004,$AJ10)="","",INDEX(NHAP_LIEU!$L$5:$L$10004,$AJ10)))</f>
        <v>40</v>
      </c>
      <c r="AA10" s="17" t="str">
        <f aca="false">IF($AJ10="","",IF(INDEX(NHAP_LIEU!$M$5:$M$10004,$AJ10)="","",INDEX(NHAP_LIEU!$M$5:$M$10004,$AJ10)))</f>
        <v/>
      </c>
      <c r="AB10" s="17" t="str">
        <f aca="false">IF($AJ10="","",IF(INDEX(NHAP_LIEU!$N$5:$N$10004,$AJ10)="","",INDEX(NHAP_LIEU!$N$5:$N$10004,$AJ10)))</f>
        <v/>
      </c>
      <c r="AC10" s="17" t="str">
        <f aca="false">IF($AJ10="","",IF(INDEX(NHAP_LIEU!$O$5:$O$10004,$AJ10)="","",INDEX(NHAP_LIEU!$O$5:$O$10004,$AJ10)))</f>
        <v/>
      </c>
      <c r="AD10" s="17" t="str">
        <f aca="false">IF($AJ10="","",IF(INDEX(NHAP_LIEU!$P$5:$P$10004,$AJ10)="","",INDEX(NHAP_LIEU!$P$5:$P$10004,$AJ10)))</f>
        <v/>
      </c>
      <c r="AE10" s="17" t="str">
        <f aca="false">IF($AJ10="","",IF(INDEX(NHAP_LIEU!$Q$5:$Q$10004,$AJ10)="","",INDEX(NHAP_LIEU!$Q$5:$Q$10004,$AJ10)))</f>
        <v/>
      </c>
      <c r="AF10" s="17" t="str">
        <f aca="false">IF($AJ10="","",IF(INDEX(NHAP_LIEU!$R$5:$R$10004,$AJ10)="","",INDEX(NHAP_LIEU!$R$5:$R$10004,$AJ10)))</f>
        <v/>
      </c>
      <c r="AG10" s="17" t="str">
        <f aca="false">IF($AJ10="","",IF(INDEX(NHAP_LIEU!$S$5:$S$10004,$AJ10)="","",INDEX(NHAP_LIEU!$S$5:$S$10004,$AJ10)))</f>
        <v/>
      </c>
      <c r="AH10" s="22" t="str">
        <f aca="false">IF($AJ10="","",IF(INDEX(NHAP_LIEU!$AC$5:$AC$10004,$AJ10)="","",INDEX(NHAP_LIEU!$AC$5:$AC$10004,$AJ10)))</f>
        <v>Đang chạy</v>
      </c>
      <c r="AI10" s="22" t="str">
        <f aca="false">IF($AJ10="","",IF(INDEX(NHAP_LIEU!$AD$5:$AD$10004,$AJ10)="","",INDEX(NHAP_LIEU!$AD$5:$AD$10004,$AJ10)))</f>
        <v/>
      </c>
      <c r="AJ10" s="20" t="n">
        <f aca="false">IF(OR(B10="",A10=""),"",IFERROR(MATCH(B10&amp;"|"&amp;A10,NHAP_LIEU!$AF$5:$AF$10004,0),""))</f>
        <v>5</v>
      </c>
    </row>
    <row r="11" customFormat="false" ht="15" hidden="false" customHeight="false" outlineLevel="0" collapsed="false">
      <c r="N11" s="26"/>
      <c r="S11" s="26"/>
    </row>
    <row r="12" customFormat="false" ht="15" hidden="false" customHeight="false" outlineLevel="0" collapsed="false">
      <c r="A12" s="33" t="n">
        <f aca="false">$M$1</f>
        <v>46295</v>
      </c>
      <c r="B12" s="34" t="s">
        <v>208</v>
      </c>
      <c r="C12" s="35"/>
      <c r="D12" s="34"/>
      <c r="E12" s="36"/>
      <c r="F12" s="37"/>
      <c r="G12" s="37" t="n">
        <f aca="false">IF(COUNT(G5:G10)=0,"",SUM(G5:G10))</f>
        <v>5308</v>
      </c>
      <c r="H12" s="37" t="n">
        <f aca="false">IF(COUNT(H5:H10)=0,"",SUM(H5:H10))</f>
        <v>1425</v>
      </c>
      <c r="I12" s="38" t="n">
        <f aca="false">IF(OR(H12="",N(G12)=0),"",H12/G12)</f>
        <v>0.268462697814619</v>
      </c>
      <c r="J12" s="39" t="n">
        <f aca="false">IF(COUNT(J5:J10)=0,"",SUM(J5:J10))</f>
        <v>-2903</v>
      </c>
      <c r="K12" s="37" t="n">
        <f aca="false">IF(COUNT(K5:K10)=0,"",SUM(K5:K10))</f>
        <v>2903</v>
      </c>
      <c r="L12" s="40"/>
      <c r="M12" s="37" t="n">
        <f aca="false">IF(COUNT(M5:M10)=0,"",SUM(M5:M10))</f>
        <v>1440</v>
      </c>
      <c r="N12" s="38" t="n">
        <f aca="false">IF(OR(H12="",N(M12)=0),"",H12/M12)</f>
        <v>0.989583333333333</v>
      </c>
      <c r="O12" s="41"/>
      <c r="P12" s="37" t="n">
        <f aca="false">IF(COUNT(P5:P10)=0,"",SUM(P5:P10))</f>
        <v>40</v>
      </c>
      <c r="Q12" s="37"/>
      <c r="R12" s="37"/>
      <c r="S12" s="38"/>
      <c r="T12" s="37"/>
      <c r="U12" s="37" t="n">
        <f aca="false">IF(COUNT(U5:U10)=0,"",SUM(U5:U10))</f>
        <v>6810</v>
      </c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4"/>
      <c r="AI12" s="34"/>
      <c r="AJ12" s="40"/>
    </row>
  </sheetData>
  <mergeCells count="3">
    <mergeCell ref="A1:E1"/>
    <mergeCell ref="G1:I1"/>
    <mergeCell ref="K1:L1"/>
  </mergeCells>
  <conditionalFormatting sqref="I5:I12">
    <cfRule type="expression" priority="2" aboveAverage="0" equalAverage="0" bottom="0" percent="0" rank="0" text="" dxfId="9">
      <formula>AND(ISNUMBER(I5),I5&lt;1)</formula>
    </cfRule>
    <cfRule type="expression" priority="3" aboveAverage="0" equalAverage="0" bottom="0" percent="0" rank="0" text="" dxfId="10">
      <formula>AND(ISNUMBER(I5),I5&gt;=1)</formula>
    </cfRule>
  </conditionalFormatting>
  <conditionalFormatting sqref="N5:N12">
    <cfRule type="expression" priority="4" aboveAverage="0" equalAverage="0" bottom="0" percent="0" rank="0" text="" dxfId="9">
      <formula>AND(ISNUMBER(N5),N5&lt;1)</formula>
    </cfRule>
    <cfRule type="expression" priority="5" aboveAverage="0" equalAverage="0" bottom="0" percent="0" rank="0" text="" dxfId="10">
      <formula>AND(ISNUMBER(N5),N5&gt;=1)</formula>
    </cfRule>
  </conditionalFormatting>
  <conditionalFormatting sqref="S5:S12">
    <cfRule type="expression" priority="6" aboveAverage="0" equalAverage="0" bottom="0" percent="0" rank="0" text="" dxfId="9">
      <formula>AND(ISNUMBER(S5),S5&lt;1)</formula>
    </cfRule>
    <cfRule type="expression" priority="7" aboveAverage="0" equalAverage="0" bottom="0" percent="0" rank="0" text="" dxfId="10">
      <formula>AND(ISNUMBER(S5),S5&gt;=1)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2026-09-30T14:28:17Z</dcterms:created>
  <dc:creator>openpyxl</dc:creator>
  <dc:description/>
  <dc:language>en-US</dc:language>
  <cp:lastModifiedBy/>
  <dcterms:modified xsi:type="dcterms:W3CDTF">2026-09-30T14:28:29Z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