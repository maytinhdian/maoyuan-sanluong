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eb4093ea44d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769f3eb0c44d18076ed1d63843ca5.psmdcp" Id="Rf722282c06af4a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uyền 1" sheetId="1" r:id="rId2"/>
    <x:sheet name="Chuyền 2" sheetId="2" r:id="rId3"/>
    <x:sheet name="Chuyền 3" sheetId="3" r:id="rId4"/>
    <x:sheet name="Chuyền 4" sheetId="4" r:id="rId5"/>
    <x:sheet name="Chuyền 5" sheetId="5" r:id="rId6"/>
    <x:sheet name="Chuyền 6" sheetId="6" r:id="rId7"/>
    <x:sheet name="Cũ" sheetId="7" r:id="rId8"/>
  </x:sheets>
  <x:definedNames/>
  <x:calcPr calcId="125725"/>
</x:workbook>
</file>

<file path=xl/calcChain.xml><?xml version="1.0" encoding="utf-8"?>
<x:calcChain xmlns:x="http://schemas.openxmlformats.org/spreadsheetml/2006/main">
  <x:c r="D3" i="1"/>
  <x:c r="F3" i="1"/>
  <x:c r="I3" i="1"/>
  <x:c r="J3" i="1"/>
  <x:c r="D4" i="1"/>
  <x:c r="F4" i="1"/>
  <x:c r="I4" i="1"/>
  <x:c r="J4" i="1"/>
  <x:c r="D5" i="1"/>
  <x:c r="F5" i="1"/>
  <x:c r="I5" i="1"/>
  <x:c r="J5" i="1"/>
  <x:c r="D6" i="1"/>
  <x:c r="E6" i="1"/>
  <x:c r="F6" i="1"/>
  <x:c r="G6" i="1"/>
  <x:c r="H6" i="1"/>
  <x:c r="I6" i="1"/>
  <x:c r="J6" i="1"/>
  <x:c r="D3" i="2"/>
  <x:c r="F3" i="2"/>
  <x:c r="I3" i="2"/>
  <x:c r="J3" i="2"/>
  <x:c r="D4" i="2"/>
  <x:c r="F4" i="2"/>
  <x:c r="I4" i="2"/>
  <x:c r="J4" i="2"/>
  <x:c r="D5" i="2"/>
  <x:c r="F5" i="2"/>
  <x:c r="I5" i="2"/>
  <x:c r="J5" i="2"/>
  <x:c r="D6" i="2"/>
  <x:c r="E6" i="2"/>
  <x:c r="F6" i="2"/>
  <x:c r="G6" i="2"/>
  <x:c r="H6" i="2"/>
  <x:c r="I6" i="2"/>
  <x:c r="J6" i="2"/>
  <x:c r="D3" i="3"/>
  <x:c r="F3" i="3"/>
  <x:c r="I3" i="3"/>
  <x:c r="J3" i="3"/>
  <x:c r="D4" i="3"/>
  <x:c r="F4" i="3"/>
  <x:c r="I4" i="3"/>
  <x:c r="J4" i="3"/>
  <x:c r="D5" i="3"/>
  <x:c r="F5" i="3"/>
  <x:c r="I5" i="3"/>
  <x:c r="J5" i="3"/>
  <x:c r="D6" i="3"/>
  <x:c r="F6" i="3"/>
  <x:c r="I6" i="3"/>
  <x:c r="J6" i="3"/>
  <x:c r="D7" i="3"/>
  <x:c r="E7" i="3"/>
  <x:c r="F7" i="3"/>
  <x:c r="G7" i="3"/>
  <x:c r="H7" i="3"/>
  <x:c r="I7" i="3"/>
  <x:c r="J7" i="3"/>
  <x:c r="D3" i="4"/>
  <x:c r="F3" i="4"/>
  <x:c r="I3" i="4"/>
  <x:c r="J3" i="4"/>
  <x:c r="D4" i="4"/>
  <x:c r="F4" i="4"/>
  <x:c r="I4" i="4"/>
  <x:c r="J4" i="4"/>
  <x:c r="D5" i="4"/>
  <x:c r="F5" i="4"/>
  <x:c r="I5" i="4"/>
  <x:c r="J5" i="4"/>
  <x:c r="D6" i="4"/>
  <x:c r="E6" i="4"/>
  <x:c r="F6" i="4"/>
  <x:c r="G6" i="4"/>
  <x:c r="H6" i="4"/>
  <x:c r="I6" i="4"/>
  <x:c r="J6" i="4"/>
  <x:c r="D3" i="5"/>
  <x:c r="F3" i="5"/>
  <x:c r="I3" i="5"/>
  <x:c r="J3" i="5"/>
  <x:c r="D4" i="5"/>
  <x:c r="F4" i="5"/>
  <x:c r="I4" i="5"/>
  <x:c r="J4" i="5"/>
  <x:c r="D5" i="5"/>
  <x:c r="F5" i="5"/>
  <x:c r="I5" i="5"/>
  <x:c r="J5" i="5"/>
  <x:c r="D6" i="5"/>
  <x:c r="F6" i="5"/>
  <x:c r="I6" i="5"/>
  <x:c r="J6" i="5"/>
  <x:c r="D7" i="5"/>
  <x:c r="E7" i="5"/>
  <x:c r="F7" i="5"/>
  <x:c r="G7" i="5"/>
  <x:c r="H7" i="5"/>
  <x:c r="I7" i="5"/>
  <x:c r="J7" i="5"/>
  <x:c r="D3" i="6"/>
  <x:c r="F3" i="6"/>
  <x:c r="I3" i="6"/>
  <x:c r="J3" i="6"/>
  <x:c r="D4" i="6"/>
  <x:c r="F4" i="6"/>
  <x:c r="I4" i="6"/>
  <x:c r="J4" i="6"/>
  <x:c r="D5" i="6"/>
  <x:c r="F5" i="6"/>
  <x:c r="I5" i="6"/>
  <x:c r="J5" i="6"/>
  <x:c r="D6" i="6"/>
  <x:c r="F6" i="6"/>
  <x:c r="I6" i="6"/>
  <x:c r="J6" i="6"/>
  <x:c r="D7" i="6"/>
  <x:c r="F7" i="6"/>
  <x:c r="I7" i="6"/>
  <x:c r="J7" i="6"/>
  <x:c r="D8" i="6"/>
  <x:c r="F8" i="6"/>
  <x:c r="I8" i="6"/>
  <x:c r="J8" i="6"/>
  <x:c r="D9" i="6"/>
  <x:c r="F9" i="6"/>
  <x:c r="I9" i="6"/>
  <x:c r="J9" i="6"/>
  <x:c r="D10" i="6"/>
  <x:c r="E10" i="6"/>
  <x:c r="F10" i="6"/>
  <x:c r="G10" i="6"/>
  <x:c r="H10" i="6"/>
  <x:c r="I10" i="6"/>
  <x:c r="J10" i="6"/>
  <x:c r="D3" i="7"/>
  <x:c r="F3" i="7"/>
  <x:c r="I3" i="7"/>
  <x:c r="J3" i="7"/>
  <x:c r="D4" i="7"/>
  <x:c r="F4" i="7"/>
  <x:c r="I4" i="7"/>
  <x:c r="J4" i="7"/>
  <x:c r="D5" i="7"/>
  <x:c r="F5" i="7"/>
  <x:c r="I5" i="7"/>
  <x:c r="J5" i="7"/>
  <x:c r="D6" i="7"/>
  <x:c r="E6" i="7"/>
  <x:c r="F6" i="7"/>
  <x:c r="G6" i="7"/>
  <x:c r="H6" i="7"/>
  <x:c r="I6" i="7"/>
  <x:c r="J6" i="7"/>
</x:calcChain>
</file>

<file path=xl/sharedStrings.xml><?xml version="1.0" encoding="utf-8"?>
<x:sst xmlns:x="http://schemas.openxmlformats.org/spreadsheetml/2006/main">
  <x:si>
    <x:t>日期：2026/09/30
NGÀY THÁNG</x:t>
  </x:si>
  <x:si>
    <x:t>产品代码
MÃ SẢN PHẨM</x:t>
  </x:si>
  <x:si>
    <x:t>每日工时数
THỜI GIAN LÊN CA</x:t>
  </x:si>
  <x:si>
    <x:t>每小时目标产量PCS
SẢN LƯỢNG MỤC TIÊU MỖI GIỜ</x:t>
  </x:si>
  <x:si>
    <x:t>每日目标产量PCS
MỤC TIỆU TRONG NGÀY</x:t>
  </x:si>
  <x:si>
    <x:t>每日实际产量PCS
SẢN LƯỢNG THỰC TẾ TRONG NGÀY</x:t>
  </x:si>
  <x:si>
    <x:t>当日达成率%
TỶ LỆ ĐẠT TRONG NGÀY</x:t>
  </x:si>
  <x:si>
    <x:t>当月总目标产量PCS
TỔNG SẢN LƯỢNG TRONG THÁNG</x:t>
  </x:si>
  <x:si>
    <x:t>当月累计产能PCS
 LŨY KẾ SẢN LƯỢNG TRONG THÁNG</x:t>
  </x:si>
  <x:si>
    <x:t>当月累计差异PCS
LŨY KẾ CHÊNH LỆCH TRONG THÁNG</x:t>
  </x:si>
  <x:si>
    <x:t>当月总达成率
TỔNG ĐẠT % TRONG THÁNG</x:t>
  </x:si>
  <x:si>
    <x:t>ĐAI LƯNG</x:t>
  </x:si>
  <x:si>
    <x:t>BAO TAY XANH</x:t>
  </x:si>
  <x:si>
    <x:t>TỔNG / 合计</x:t>
  </x:si>
  <x:si>
    <x:t>GĂNG TAY TRẮNG</x:t>
  </x:si>
  <x:si>
    <x:t>日期：2026/09/29
NGÀY THÁNG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</x:si>
</x:sst>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0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" max="11" width="16.710625" style="0" customWidth="1"/>
  </x:cols>
  <x:sheetData>
    <x:row r="1" spans="1:11">
      <x:c r="A1" s="1" t="s">
        <x:v>0</x:v>
      </x:c>
    </x:row>
    <x:row r="2" spans="1:1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3"/>
    </x:row>
    <x:row r="3" spans="1:11">
      <x:c r="A3" s="3" t="s">
        <x:v>11</x:v>
      </x:c>
      <x:c r="B3" s="3">
        <x:v>10</x:v>
      </x:c>
      <x:c r="C3" s="3">
        <x:v>100</x:v>
      </x:c>
      <x:c r="D3" s="4">
        <x:f>B3*C3</x:f>
      </x:c>
      <x:c r="E3" s="4">
        <x:v>1000</x:v>
      </x:c>
      <x:c r="F3" s="5">
        <x:f>+E3/D3</x:f>
      </x:c>
      <x:c r="G3" s="4">
        <x:v>40000</x:v>
      </x:c>
      <x:c r="H3" s="4">
        <x:v>38000</x:v>
      </x:c>
      <x:c r="I3" s="4">
        <x:f>+H3-G3</x:f>
      </x:c>
      <x:c r="J3" s="5">
        <x:f>+H3/G3</x:f>
      </x:c>
      <x:c r="K3" s="3"/>
    </x:row>
    <x:row r="4" spans="1:11">
      <x:c r="A4" s="3" t="s">
        <x:v>12</x:v>
      </x:c>
      <x:c r="B4" s="3">
        <x:v>10</x:v>
      </x:c>
      <x:c r="C4" s="3">
        <x:v>100</x:v>
      </x:c>
      <x:c r="D4" s="4">
        <x:f>B4*C4</x:f>
      </x:c>
      <x:c r="E4" s="4">
        <x:v>1000</x:v>
      </x:c>
      <x:c r="F4" s="5">
        <x:f>+E4/D4</x:f>
      </x:c>
      <x:c r="G4" s="4">
        <x:v>40000</x:v>
      </x:c>
      <x:c r="H4" s="4">
        <x:v>39000</x:v>
      </x:c>
      <x:c r="I4" s="4">
        <x:f>+H4-G4</x:f>
      </x:c>
      <x:c r="J4" s="5">
        <x:f>+H4/G4</x:f>
      </x:c>
      <x:c r="K4" s="3"/>
    </x:row>
    <x:row r="5" spans="1:11">
      <x:c r="A5" s="3">
        <x:v>883</x:v>
      </x:c>
      <x:c r="B5" s="3">
        <x:v>10</x:v>
      </x:c>
      <x:c r="C5" s="3">
        <x:v>185</x:v>
      </x:c>
      <x:c r="D5" s="4">
        <x:f>B5*C5</x:f>
      </x:c>
      <x:c r="E5" s="4">
        <x:v>1850</x:v>
      </x:c>
      <x:c r="F5" s="5">
        <x:f>+E5/D5</x:f>
      </x:c>
      <x:c r="G5" s="4">
        <x:v>50000</x:v>
      </x:c>
      <x:c r="H5" s="4">
        <x:v>45000</x:v>
      </x:c>
      <x:c r="I5" s="4">
        <x:f>+H5-G5</x:f>
      </x:c>
      <x:c r="J5" s="5">
        <x:f>+H5/G5</x:f>
      </x:c>
      <x:c r="K5" s="3"/>
    </x:row>
    <x:row r="6" spans="1:11">
      <x:c r="A6" s="6" t="s">
        <x:v>13</x:v>
      </x:c>
      <x:c r="B6" s="6"/>
      <x:c r="C6" s="6"/>
      <x:c r="D6" s="7">
        <x:f>SUM(D3:D5)</x:f>
      </x:c>
      <x:c r="E6" s="7">
        <x:f>SUM(E3:E5)</x:f>
      </x:c>
      <x:c r="F6" s="8">
        <x:f>IF(D6=0,"",E6/D6)</x:f>
      </x:c>
      <x:c r="G6" s="7">
        <x:f>SUM(G3:G5)</x:f>
      </x:c>
      <x:c r="H6" s="7">
        <x:f>SUM(H3:H5)</x:f>
      </x:c>
      <x:c r="I6" s="7">
        <x:f>SUM(I3:I5)</x:f>
      </x:c>
      <x:c r="J6" s="8">
        <x:f>IF(G6=0,"",H6/G6)</x:f>
      </x:c>
      <x:c r="K6" s="3"/>
    </x:row>
    <x:row r="7" spans="1:1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spans="1:1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" max="11" width="16.710625" style="0" customWidth="1"/>
  </x:cols>
  <x:sheetData>
    <x:row r="1" spans="1:11">
      <x:c r="A1" s="1" t="s">
        <x:v>0</x:v>
      </x:c>
    </x:row>
    <x:row r="2" spans="1:1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3"/>
    </x:row>
    <x:row r="3" spans="1:11">
      <x:c r="A3" s="3">
        <x:v>700</x:v>
      </x:c>
      <x:c r="B3" s="3">
        <x:v>10</x:v>
      </x:c>
      <x:c r="C3" s="3">
        <x:v>185</x:v>
      </x:c>
      <x:c r="D3" s="4">
        <x:f>B3*C3</x:f>
      </x:c>
      <x:c r="E3" s="4">
        <x:v>1850</x:v>
      </x:c>
      <x:c r="F3" s="5">
        <x:f>+E3/D3</x:f>
      </x:c>
      <x:c r="G3" s="4">
        <x:v>50000</x:v>
      </x:c>
      <x:c r="H3" s="4">
        <x:v>45000</x:v>
      </x:c>
      <x:c r="I3" s="4">
        <x:f>+H3-G3</x:f>
      </x:c>
      <x:c r="J3" s="5">
        <x:f>+H3/G3</x:f>
      </x:c>
      <x:c r="K3" s="3"/>
    </x:row>
    <x:row r="4" spans="1:11">
      <x:c r="A4" s="3">
        <x:v>972</x:v>
      </x:c>
      <x:c r="B4" s="3">
        <x:v>10</x:v>
      </x:c>
      <x:c r="C4" s="3">
        <x:v>185</x:v>
      </x:c>
      <x:c r="D4" s="4">
        <x:f>B4*C4</x:f>
      </x:c>
      <x:c r="E4" s="4">
        <x:v>2000</x:v>
      </x:c>
      <x:c r="F4" s="5">
        <x:f>+E4/D4</x:f>
      </x:c>
      <x:c r="G4" s="4">
        <x:v>50000</x:v>
      </x:c>
      <x:c r="H4" s="4">
        <x:v>55000</x:v>
      </x:c>
      <x:c r="I4" s="4">
        <x:f>+H4-G4</x:f>
      </x:c>
      <x:c r="J4" s="5">
        <x:f>+H4/G4</x:f>
      </x:c>
      <x:c r="K4" s="3"/>
    </x:row>
    <x:row r="5" spans="1:11">
      <x:c r="A5" s="3">
        <x:v>959</x:v>
      </x:c>
      <x:c r="B5" s="3">
        <x:v>10</x:v>
      </x:c>
      <x:c r="C5" s="3">
        <x:v>185</x:v>
      </x:c>
      <x:c r="D5" s="4">
        <x:f>B5*C5</x:f>
      </x:c>
      <x:c r="E5" s="4">
        <x:v>1850</x:v>
      </x:c>
      <x:c r="F5" s="5">
        <x:f>+E5/D5</x:f>
      </x:c>
      <x:c r="G5" s="4">
        <x:v>50000</x:v>
      </x:c>
      <x:c r="H5" s="4">
        <x:v>45000</x:v>
      </x:c>
      <x:c r="I5" s="4">
        <x:f>+H5-G5</x:f>
      </x:c>
      <x:c r="J5" s="5">
        <x:f>+H5/G5</x:f>
      </x:c>
      <x:c r="K5" s="3"/>
    </x:row>
    <x:row r="6" spans="1:11">
      <x:c r="A6" s="6" t="s">
        <x:v>13</x:v>
      </x:c>
      <x:c r="B6" s="6"/>
      <x:c r="C6" s="6"/>
      <x:c r="D6" s="7">
        <x:f>SUM(D3:D5)</x:f>
      </x:c>
      <x:c r="E6" s="7">
        <x:f>SUM(E3:E5)</x:f>
      </x:c>
      <x:c r="F6" s="8">
        <x:f>IF(D6=0,"",E6/D6)</x:f>
      </x:c>
      <x:c r="G6" s="7">
        <x:f>SUM(G3:G5)</x:f>
      </x:c>
      <x:c r="H6" s="7">
        <x:f>SUM(H3:H5)</x:f>
      </x:c>
      <x:c r="I6" s="7">
        <x:f>SUM(I3:I5)</x:f>
      </x:c>
      <x:c r="J6" s="8">
        <x:f>IF(G6=0,"",H6/G6)</x:f>
      </x:c>
      <x:c r="K6" s="3"/>
    </x:row>
    <x:row r="7" spans="1:1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spans="1:1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"/>
  <x:sheetViews>
    <x:sheetView workbookViewId="0"/>
  </x:sheetViews>
  <x:sheetFormatPr defaultRowHeight="15"/>
  <x:cols>
    <x:col min="1" max="11" width="16.710625" style="0" customWidth="1"/>
  </x:cols>
  <x:sheetData>
    <x:row r="1" spans="1:11">
      <x:c r="A1" s="1" t="s">
        <x:v>0</x:v>
      </x:c>
    </x:row>
    <x:row r="2" spans="1:1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3"/>
    </x:row>
    <x:row r="3" spans="1:11">
      <x:c r="A3" s="3">
        <x:v>1201</x:v>
      </x:c>
      <x:c r="B3" s="3">
        <x:v>8</x:v>
      </x:c>
      <x:c r="C3" s="3">
        <x:v>150</x:v>
      </x:c>
      <x:c r="D3" s="4">
        <x:f>B3*C3</x:f>
      </x:c>
      <x:c r="E3" s="4">
        <x:v>1020</x:v>
      </x:c>
      <x:c r="F3" s="5">
        <x:f>+E3/D3</x:f>
      </x:c>
      <x:c r="G3" s="4">
        <x:v>30000</x:v>
      </x:c>
      <x:c r="H3" s="4">
        <x:v>24500</x:v>
      </x:c>
      <x:c r="I3" s="4">
        <x:f>+H3-G3</x:f>
      </x:c>
      <x:c r="J3" s="5">
        <x:f>+H3/G3</x:f>
      </x:c>
      <x:c r="K3" s="3"/>
    </x:row>
    <x:row r="4" spans="1:11">
      <x:c r="A4" s="3">
        <x:v>1305</x:v>
      </x:c>
      <x:c r="B4" s="3">
        <x:v>8</x:v>
      </x:c>
      <x:c r="C4" s="3">
        <x:v>150</x:v>
      </x:c>
      <x:c r="D4" s="4">
        <x:f>B4*C4</x:f>
      </x:c>
      <x:c r="E4" s="4">
        <x:v>1150</x:v>
      </x:c>
      <x:c r="F4" s="5">
        <x:f>+E4/D4</x:f>
      </x:c>
      <x:c r="G4" s="4">
        <x:v>30000</x:v>
      </x:c>
      <x:c r="H4" s="4">
        <x:v>28800</x:v>
      </x:c>
      <x:c r="I4" s="4">
        <x:f>+H4-G4</x:f>
      </x:c>
      <x:c r="J4" s="5">
        <x:f>+H4/G4</x:f>
      </x:c>
      <x:c r="K4" s="3"/>
    </x:row>
    <x:row r="5" spans="1:11">
      <x:c r="A5" s="3">
        <x:v>1306</x:v>
      </x:c>
      <x:c r="B5" s="3">
        <x:v>8</x:v>
      </x:c>
      <x:c r="C5" s="3">
        <x:v>150</x:v>
      </x:c>
      <x:c r="D5" s="4">
        <x:f>B5*C5</x:f>
      </x:c>
      <x:c r="E5" s="4">
        <x:v>1180</x:v>
      </x:c>
      <x:c r="F5" s="5">
        <x:f>+E5/D5</x:f>
      </x:c>
      <x:c r="G5" s="4">
        <x:v>30000</x:v>
      </x:c>
      <x:c r="H5" s="4">
        <x:v>29900</x:v>
      </x:c>
      <x:c r="I5" s="4">
        <x:f>+H5-G5</x:f>
      </x:c>
      <x:c r="J5" s="5">
        <x:f>+H5/G5</x:f>
      </x:c>
      <x:c r="K5" s="3"/>
    </x:row>
    <x:row r="6" spans="1:11">
      <x:c r="A6" s="3">
        <x:v>1310</x:v>
      </x:c>
      <x:c r="B6" s="3">
        <x:v>8</x:v>
      </x:c>
      <x:c r="C6" s="3">
        <x:v>150</x:v>
      </x:c>
      <x:c r="D6" s="4">
        <x:f>B6*C6</x:f>
      </x:c>
      <x:c r="E6" s="4">
        <x:v>1090</x:v>
      </x:c>
      <x:c r="F6" s="5">
        <x:f>+E6/D6</x:f>
      </x:c>
      <x:c r="G6" s="4">
        <x:v>30000</x:v>
      </x:c>
      <x:c r="H6" s="4">
        <x:v>27100</x:v>
      </x:c>
      <x:c r="I6" s="4">
        <x:f>+H6-G6</x:f>
      </x:c>
      <x:c r="J6" s="5">
        <x:f>+H6/G6</x:f>
      </x:c>
      <x:c r="K6" s="3"/>
    </x:row>
    <x:row r="7" spans="1:11">
      <x:c r="A7" s="6" t="s">
        <x:v>13</x:v>
      </x:c>
      <x:c r="B7" s="6"/>
      <x:c r="C7" s="6"/>
      <x:c r="D7" s="7">
        <x:f>SUM(D3:D6)</x:f>
      </x:c>
      <x:c r="E7" s="7">
        <x:f>SUM(E3:E6)</x:f>
      </x:c>
      <x:c r="F7" s="8">
        <x:f>IF(D7=0,"",E7/D7)</x:f>
      </x:c>
      <x:c r="G7" s="7">
        <x:f>SUM(G3:G6)</x:f>
      </x:c>
      <x:c r="H7" s="7">
        <x:f>SUM(H3:H6)</x:f>
      </x:c>
      <x:c r="I7" s="7">
        <x:f>SUM(I3:I6)</x:f>
      </x:c>
      <x:c r="J7" s="8">
        <x:f>IF(G7=0,"",H7/G7)</x:f>
      </x:c>
      <x:c r="K7" s="3"/>
    </x:row>
    <x:row r="8" spans="1:1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spans="1:1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" max="11" width="16.710625" style="0" customWidth="1"/>
  </x:cols>
  <x:sheetData>
    <x:row r="1" spans="1:11">
      <x:c r="A1" s="1" t="s">
        <x:v>0</x:v>
      </x:c>
    </x:row>
    <x:row r="2" spans="1:1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3"/>
    </x:row>
    <x:row r="3" spans="1:11">
      <x:c r="A3" s="3" t="s">
        <x:v>14</x:v>
      </x:c>
      <x:c r="B3" s="3">
        <x:v>10</x:v>
      </x:c>
      <x:c r="C3" s="3">
        <x:v>120</x:v>
      </x:c>
      <x:c r="D3" s="4">
        <x:f>B3*C3</x:f>
      </x:c>
      <x:c r="E3" s="4">
        <x:v>1310</x:v>
      </x:c>
      <x:c r="F3" s="5">
        <x:f>+E3/D3</x:f>
      </x:c>
      <x:c r="G3" s="4">
        <x:v>36000</x:v>
      </x:c>
      <x:c r="H3" s="4">
        <x:v>36500</x:v>
      </x:c>
      <x:c r="I3" s="4">
        <x:f>+H3-G3</x:f>
      </x:c>
      <x:c r="J3" s="5">
        <x:f>+H3/G3</x:f>
      </x:c>
      <x:c r="K3" s="3"/>
    </x:row>
    <x:row r="4" spans="1:11">
      <x:c r="A4" s="3">
        <x:v>640</x:v>
      </x:c>
      <x:c r="B4" s="3">
        <x:v>10</x:v>
      </x:c>
      <x:c r="C4" s="3">
        <x:v>200</x:v>
      </x:c>
      <x:c r="D4" s="4">
        <x:f>B4*C4</x:f>
      </x:c>
      <x:c r="E4" s="4">
        <x:v>1700</x:v>
      </x:c>
      <x:c r="F4" s="5">
        <x:f>+E4/D4</x:f>
      </x:c>
      <x:c r="G4" s="4">
        <x:v>60000</x:v>
      </x:c>
      <x:c r="H4" s="4">
        <x:v>51000</x:v>
      </x:c>
      <x:c r="I4" s="4">
        <x:f>+H4-G4</x:f>
      </x:c>
      <x:c r="J4" s="5">
        <x:f>+H4/G4</x:f>
      </x:c>
      <x:c r="K4" s="3"/>
    </x:row>
    <x:row r="5" spans="1:11">
      <x:c r="A5" s="3">
        <x:v>641</x:v>
      </x:c>
      <x:c r="B5" s="3">
        <x:v>10</x:v>
      </x:c>
      <x:c r="C5" s="3">
        <x:v>200</x:v>
      </x:c>
      <x:c r="D5" s="4">
        <x:f>B5*C5</x:f>
      </x:c>
      <x:c r="E5" s="4">
        <x:v>2050</x:v>
      </x:c>
      <x:c r="F5" s="5">
        <x:f>+E5/D5</x:f>
      </x:c>
      <x:c r="G5" s="4">
        <x:v>60000</x:v>
      </x:c>
      <x:c r="H5" s="4">
        <x:v>61200</x:v>
      </x:c>
      <x:c r="I5" s="4">
        <x:f>+H5-G5</x:f>
      </x:c>
      <x:c r="J5" s="5">
        <x:f>+H5/G5</x:f>
      </x:c>
      <x:c r="K5" s="3"/>
    </x:row>
    <x:row r="6" spans="1:11">
      <x:c r="A6" s="6" t="s">
        <x:v>13</x:v>
      </x:c>
      <x:c r="B6" s="6"/>
      <x:c r="C6" s="6"/>
      <x:c r="D6" s="7">
        <x:f>SUM(D3:D5)</x:f>
      </x:c>
      <x:c r="E6" s="7">
        <x:f>SUM(E3:E5)</x:f>
      </x:c>
      <x:c r="F6" s="8">
        <x:f>IF(D6=0,"",E6/D6)</x:f>
      </x:c>
      <x:c r="G6" s="7">
        <x:f>SUM(G3:G5)</x:f>
      </x:c>
      <x:c r="H6" s="7">
        <x:f>SUM(H3:H5)</x:f>
      </x:c>
      <x:c r="I6" s="7">
        <x:f>SUM(I3:I5)</x:f>
      </x:c>
      <x:c r="J6" s="8">
        <x:f>IF(G6=0,"",H6/G6)</x:f>
      </x:c>
      <x:c r="K6" s="3"/>
    </x:row>
    <x:row r="7" spans="1:1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spans="1:1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"/>
  <x:sheetViews>
    <x:sheetView workbookViewId="0"/>
  </x:sheetViews>
  <x:sheetFormatPr defaultRowHeight="15"/>
  <x:cols>
    <x:col min="1" max="11" width="16.710625" style="0" customWidth="1"/>
  </x:cols>
  <x:sheetData>
    <x:row r="1" spans="1:11">
      <x:c r="A1" s="1" t="s">
        <x:v>0</x:v>
      </x:c>
    </x:row>
    <x:row r="2" spans="1:1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3"/>
    </x:row>
    <x:row r="3" spans="1:11">
      <x:c r="A3" s="3">
        <x:v>515</x:v>
      </x:c>
      <x:c r="B3" s="3">
        <x:v>9</x:v>
      </x:c>
      <x:c r="C3" s="3">
        <x:v>160</x:v>
      </x:c>
      <x:c r="D3" s="4">
        <x:f>B3*C3</x:f>
      </x:c>
      <x:c r="E3" s="4">
        <x:v>1500</x:v>
      </x:c>
      <x:c r="F3" s="5">
        <x:f>+E3/D3</x:f>
      </x:c>
      <x:c r="G3" s="4">
        <x:v>42000</x:v>
      </x:c>
      <x:c r="H3" s="4">
        <x:v>40100</x:v>
      </x:c>
      <x:c r="I3" s="4">
        <x:f>+H3-G3</x:f>
      </x:c>
      <x:c r="J3" s="5">
        <x:f>+H3/G3</x:f>
      </x:c>
      <x:c r="K3" s="3"/>
    </x:row>
    <x:row r="4" spans="1:11">
      <x:c r="A4" s="3">
        <x:v>516</x:v>
      </x:c>
      <x:c r="B4" s="3">
        <x:v>9</x:v>
      </x:c>
      <x:c r="C4" s="3">
        <x:v>160</x:v>
      </x:c>
      <x:c r="D4" s="4">
        <x:f>B4*C4</x:f>
      </x:c>
      <x:c r="E4" s="4">
        <x:v>1390</x:v>
      </x:c>
      <x:c r="F4" s="5">
        <x:f>+E4/D4</x:f>
      </x:c>
      <x:c r="G4" s="4">
        <x:v>42000</x:v>
      </x:c>
      <x:c r="H4" s="4">
        <x:v>37800</x:v>
      </x:c>
      <x:c r="I4" s="4">
        <x:f>+H4-G4</x:f>
      </x:c>
      <x:c r="J4" s="5">
        <x:f>+H4/G4</x:f>
      </x:c>
      <x:c r="K4" s="3"/>
    </x:row>
    <x:row r="5" spans="1:11">
      <x:c r="A5" s="3">
        <x:v>520</x:v>
      </x:c>
      <x:c r="B5" s="3">
        <x:v>9</x:v>
      </x:c>
      <x:c r="C5" s="3">
        <x:v>160</x:v>
      </x:c>
      <x:c r="D5" s="4">
        <x:f>B5*C5</x:f>
      </x:c>
      <x:c r="E5" s="4">
        <x:v>1440</x:v>
      </x:c>
      <x:c r="F5" s="5">
        <x:f>+E5/D5</x:f>
      </x:c>
      <x:c r="G5" s="4">
        <x:v>42000</x:v>
      </x:c>
      <x:c r="H5" s="4">
        <x:v>41500</x:v>
      </x:c>
      <x:c r="I5" s="4">
        <x:f>+H5-G5</x:f>
      </x:c>
      <x:c r="J5" s="5">
        <x:f>+H5/G5</x:f>
      </x:c>
      <x:c r="K5" s="3"/>
    </x:row>
    <x:row r="6" spans="1:11">
      <x:c r="A6" s="3">
        <x:v>883</x:v>
      </x:c>
      <x:c r="B6" s="3">
        <x:v>9</x:v>
      </x:c>
      <x:c r="C6" s="3">
        <x:v>160</x:v>
      </x:c>
      <x:c r="D6" s="4">
        <x:f>B6*C6</x:f>
      </x:c>
      <x:c r="E6" s="4">
        <x:v>1460</x:v>
      </x:c>
      <x:c r="F6" s="5">
        <x:f>+E6/D6</x:f>
      </x:c>
      <x:c r="G6" s="4">
        <x:v>42000</x:v>
      </x:c>
      <x:c r="H6" s="4">
        <x:v>40900</x:v>
      </x:c>
      <x:c r="I6" s="4">
        <x:f>+H6-G6</x:f>
      </x:c>
      <x:c r="J6" s="5">
        <x:f>+H6/G6</x:f>
      </x:c>
      <x:c r="K6" s="3"/>
    </x:row>
    <x:row r="7" spans="1:11">
      <x:c r="A7" s="6" t="s">
        <x:v>13</x:v>
      </x:c>
      <x:c r="B7" s="6"/>
      <x:c r="C7" s="6"/>
      <x:c r="D7" s="7">
        <x:f>SUM(D3:D6)</x:f>
      </x:c>
      <x:c r="E7" s="7">
        <x:f>SUM(E3:E6)</x:f>
      </x:c>
      <x:c r="F7" s="8">
        <x:f>IF(D7=0,"",E7/D7)</x:f>
      </x:c>
      <x:c r="G7" s="7">
        <x:f>SUM(G3:G6)</x:f>
      </x:c>
      <x:c r="H7" s="7">
        <x:f>SUM(H3:H6)</x:f>
      </x:c>
      <x:c r="I7" s="7">
        <x:f>SUM(I3:I6)</x:f>
      </x:c>
      <x:c r="J7" s="8">
        <x:f>IF(G7=0,"",H7/G7)</x:f>
      </x:c>
      <x:c r="K7" s="3"/>
    </x:row>
    <x:row r="8" spans="1:1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spans="1:1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2"/>
  <x:sheetViews>
    <x:sheetView workbookViewId="0"/>
  </x:sheetViews>
  <x:sheetFormatPr defaultRowHeight="15"/>
  <x:cols>
    <x:col min="1" max="11" width="16.710625" style="0" customWidth="1"/>
  </x:cols>
  <x:sheetData>
    <x:row r="1" spans="1:11">
      <x:c r="A1" s="1" t="s">
        <x:v>0</x:v>
      </x:c>
    </x:row>
    <x:row r="2" spans="1:1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3"/>
    </x:row>
    <x:row r="3" spans="1:11">
      <x:c r="A3" s="3">
        <x:v>730</x:v>
      </x:c>
      <x:c r="B3" s="3">
        <x:v>10</x:v>
      </x:c>
      <x:c r="C3" s="3">
        <x:v>180</x:v>
      </x:c>
      <x:c r="D3" s="4">
        <x:f>B3*C3</x:f>
      </x:c>
      <x:c r="E3" s="4">
        <x:v>1810</x:v>
      </x:c>
      <x:c r="F3" s="5">
        <x:f>+E3/D3</x:f>
      </x:c>
      <x:c r="G3" s="4">
        <x:v>52000</x:v>
      </x:c>
      <x:c r="H3" s="4">
        <x:v>50400</x:v>
      </x:c>
      <x:c r="I3" s="4">
        <x:f>+H3-G3</x:f>
      </x:c>
      <x:c r="J3" s="5">
        <x:f>+H3/G3</x:f>
      </x:c>
      <x:c r="K3" s="3"/>
    </x:row>
    <x:row r="4" spans="1:11">
      <x:c r="A4" s="3">
        <x:v>731</x:v>
      </x:c>
      <x:c r="B4" s="3">
        <x:v>10</x:v>
      </x:c>
      <x:c r="C4" s="3">
        <x:v>180</x:v>
      </x:c>
      <x:c r="D4" s="4">
        <x:f>B4*C4</x:f>
      </x:c>
      <x:c r="E4" s="4">
        <x:v>1620</x:v>
      </x:c>
      <x:c r="F4" s="5">
        <x:f>+E4/D4</x:f>
      </x:c>
      <x:c r="G4" s="4">
        <x:v>52000</x:v>
      </x:c>
      <x:c r="H4" s="4">
        <x:v>46800</x:v>
      </x:c>
      <x:c r="I4" s="4">
        <x:f>+H4-G4</x:f>
      </x:c>
      <x:c r="J4" s="5">
        <x:f>+H4/G4</x:f>
      </x:c>
      <x:c r="K4" s="3"/>
    </x:row>
    <x:row r="5" spans="1:11">
      <x:c r="A5" s="3">
        <x:v>735</x:v>
      </x:c>
      <x:c r="B5" s="3">
        <x:v>10</x:v>
      </x:c>
      <x:c r="C5" s="3">
        <x:v>180</x:v>
      </x:c>
      <x:c r="D5" s="4">
        <x:f>B5*C5</x:f>
      </x:c>
      <x:c r="E5" s="4">
        <x:v>1790</x:v>
      </x:c>
      <x:c r="F5" s="5">
        <x:f>+E5/D5</x:f>
      </x:c>
      <x:c r="G5" s="4">
        <x:v>52000</x:v>
      </x:c>
      <x:c r="H5" s="4">
        <x:v>51900</x:v>
      </x:c>
      <x:c r="I5" s="4">
        <x:f>+H5-G5</x:f>
      </x:c>
      <x:c r="J5" s="5">
        <x:f>+H5/G5</x:f>
      </x:c>
      <x:c r="K5" s="3"/>
    </x:row>
    <x:row r="6" spans="1:11">
      <x:c r="A6" s="3">
        <x:v>740</x:v>
      </x:c>
      <x:c r="B6" s="3">
        <x:v>10</x:v>
      </x:c>
      <x:c r="C6" s="3">
        <x:v>180</x:v>
      </x:c>
      <x:c r="D6" s="4">
        <x:f>B6*C6</x:f>
      </x:c>
      <x:c r="E6" s="4">
        <x:v>1400</x:v>
      </x:c>
      <x:c r="F6" s="5">
        <x:f>+E6/D6</x:f>
      </x:c>
      <x:c r="G6" s="4">
        <x:v>52000</x:v>
      </x:c>
      <x:c r="H6" s="4">
        <x:v>43000</x:v>
      </x:c>
      <x:c r="I6" s="4">
        <x:f>+H6-G6</x:f>
      </x:c>
      <x:c r="J6" s="5">
        <x:f>+H6/G6</x:f>
      </x:c>
      <x:c r="K6" s="3"/>
    </x:row>
    <x:row r="7" spans="1:11">
      <x:c r="A7" s="3">
        <x:v>745</x:v>
      </x:c>
      <x:c r="B7" s="3">
        <x:v>10</x:v>
      </x:c>
      <x:c r="C7" s="3">
        <x:v>180</x:v>
      </x:c>
      <x:c r="D7" s="4">
        <x:f>B7*C7</x:f>
      </x:c>
      <x:c r="E7" s="4">
        <x:v>1850</x:v>
      </x:c>
      <x:c r="F7" s="5">
        <x:f>+E7/D7</x:f>
      </x:c>
      <x:c r="G7" s="4">
        <x:v>52000</x:v>
      </x:c>
      <x:c r="H7" s="4">
        <x:v>52800</x:v>
      </x:c>
      <x:c r="I7" s="4">
        <x:f>+H7-G7</x:f>
      </x:c>
      <x:c r="J7" s="5">
        <x:f>+H7/G7</x:f>
      </x:c>
      <x:c r="K7" s="3"/>
    </x:row>
    <x:row r="8" spans="1:11">
      <x:c r="A8" s="3">
        <x:v>750</x:v>
      </x:c>
      <x:c r="B8" s="3">
        <x:v>10</x:v>
      </x:c>
      <x:c r="C8" s="3">
        <x:v>180</x:v>
      </x:c>
      <x:c r="D8" s="4">
        <x:f>B8*C8</x:f>
      </x:c>
      <x:c r="E8" s="4">
        <x:v>1705</x:v>
      </x:c>
      <x:c r="F8" s="5">
        <x:f>+E8/D8</x:f>
      </x:c>
      <x:c r="G8" s="4">
        <x:v>52000</x:v>
      </x:c>
      <x:c r="H8" s="4">
        <x:v>49600</x:v>
      </x:c>
      <x:c r="I8" s="4">
        <x:f>+H8-G8</x:f>
      </x:c>
      <x:c r="J8" s="5">
        <x:f>+H8/G8</x:f>
      </x:c>
      <x:c r="K8" s="3"/>
    </x:row>
    <x:row r="9" spans="1:11">
      <x:c r="A9" s="3">
        <x:v>755</x:v>
      </x:c>
      <x:c r="B9" s="3">
        <x:v>10</x:v>
      </x:c>
      <x:c r="C9" s="3">
        <x:v>180</x:v>
      </x:c>
      <x:c r="D9" s="4">
        <x:f>B9*C9</x:f>
      </x:c>
      <x:c r="E9" s="4">
        <x:v>1830</x:v>
      </x:c>
      <x:c r="F9" s="5">
        <x:f>+E9/D9</x:f>
      </x:c>
      <x:c r="G9" s="4">
        <x:v>52000</x:v>
      </x:c>
      <x:c r="H9" s="4">
        <x:v>50800</x:v>
      </x:c>
      <x:c r="I9" s="4">
        <x:f>+H9-G9</x:f>
      </x:c>
      <x:c r="J9" s="5">
        <x:f>+H9/G9</x:f>
      </x:c>
      <x:c r="K9" s="3"/>
    </x:row>
    <x:row r="10" spans="1:11">
      <x:c r="A10" s="6" t="s">
        <x:v>13</x:v>
      </x:c>
      <x:c r="B10" s="6"/>
      <x:c r="C10" s="6"/>
      <x:c r="D10" s="7">
        <x:f>SUM(D3:D9)</x:f>
      </x:c>
      <x:c r="E10" s="7">
        <x:f>SUM(E3:E9)</x:f>
      </x:c>
      <x:c r="F10" s="8">
        <x:f>IF(D10=0,"",E10/D10)</x:f>
      </x:c>
      <x:c r="G10" s="7">
        <x:f>SUM(G3:G9)</x:f>
      </x:c>
      <x:c r="H10" s="7">
        <x:f>SUM(H3:H9)</x:f>
      </x:c>
      <x:c r="I10" s="7">
        <x:f>SUM(I3:I9)</x:f>
      </x:c>
      <x:c r="J10" s="8">
        <x:f>IF(G10=0,"",H10/G10)</x:f>
      </x:c>
      <x:c r="K10" s="3"/>
    </x:row>
    <x:row r="11" spans="1: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spans="1:1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" max="11" width="16.710625" style="0" customWidth="1"/>
  </x:cols>
  <x:sheetData>
    <x:row r="1" spans="1:11">
      <x:c r="A1" s="1" t="s">
        <x:v>15</x:v>
      </x:c>
    </x:row>
    <x:row r="2" spans="1:1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3"/>
    </x:row>
    <x:row r="3" spans="1:11">
      <x:c r="A3" s="3" t="s">
        <x:v>11</x:v>
      </x:c>
      <x:c r="B3" s="3">
        <x:v>10</x:v>
      </x:c>
      <x:c r="C3" s="3">
        <x:v>100</x:v>
      </x:c>
      <x:c r="D3" s="4">
        <x:f>B3*C3</x:f>
      </x:c>
      <x:c r="E3" s="4">
        <x:v>1000</x:v>
      </x:c>
      <x:c r="F3" s="5">
        <x:f>+E3/D3</x:f>
      </x:c>
      <x:c r="G3" s="4">
        <x:v>40000</x:v>
      </x:c>
      <x:c r="H3" s="4">
        <x:v>38000</x:v>
      </x:c>
      <x:c r="I3" s="4">
        <x:f>+H3-G3</x:f>
      </x:c>
      <x:c r="J3" s="5">
        <x:f>+H3/G3</x:f>
      </x:c>
      <x:c r="K3" s="3"/>
    </x:row>
    <x:row r="4" spans="1:11">
      <x:c r="A4" s="3" t="s">
        <x:v>12</x:v>
      </x:c>
      <x:c r="B4" s="3">
        <x:v>10</x:v>
      </x:c>
      <x:c r="C4" s="3">
        <x:v>100</x:v>
      </x:c>
      <x:c r="D4" s="4">
        <x:f>B4*C4</x:f>
      </x:c>
      <x:c r="E4" s="4">
        <x:v>1000</x:v>
      </x:c>
      <x:c r="F4" s="5">
        <x:f>+E4/D4</x:f>
      </x:c>
      <x:c r="G4" s="4">
        <x:v>40000</x:v>
      </x:c>
      <x:c r="H4" s="4">
        <x:v>39000</x:v>
      </x:c>
      <x:c r="I4" s="4">
        <x:f>+H4-G4</x:f>
      </x:c>
      <x:c r="J4" s="5">
        <x:f>+H4/G4</x:f>
      </x:c>
      <x:c r="K4" s="3"/>
    </x:row>
    <x:row r="5" spans="1:11">
      <x:c r="A5" s="3">
        <x:v>883</x:v>
      </x:c>
      <x:c r="B5" s="3">
        <x:v>10</x:v>
      </x:c>
      <x:c r="C5" s="3">
        <x:v>185</x:v>
      </x:c>
      <x:c r="D5" s="4">
        <x:f>B5*C5</x:f>
      </x:c>
      <x:c r="E5" s="4">
        <x:v>1850</x:v>
      </x:c>
      <x:c r="F5" s="5">
        <x:f>+E5/D5</x:f>
      </x:c>
      <x:c r="G5" s="4">
        <x:v>50000</x:v>
      </x:c>
      <x:c r="H5" s="4">
        <x:v>45000</x:v>
      </x:c>
      <x:c r="I5" s="4">
        <x:f>+H5-G5</x:f>
      </x:c>
      <x:c r="J5" s="5">
        <x:f>+H5/G5</x:f>
      </x:c>
      <x:c r="K5" s="3"/>
    </x:row>
    <x:row r="6" spans="1:11">
      <x:c r="A6" s="6" t="s">
        <x:v>13</x:v>
      </x:c>
      <x:c r="B6" s="6"/>
      <x:c r="C6" s="6"/>
      <x:c r="D6" s="7">
        <x:f>SUM(D3:D5)</x:f>
      </x:c>
      <x:c r="E6" s="7">
        <x:f>SUM(E3:E5)</x:f>
      </x:c>
      <x:c r="F6" s="8">
        <x:f>IF(D6=0,"",E6/D6)</x:f>
      </x:c>
      <x:c r="G6" s="7">
        <x:f>SUM(G3:G5)</x:f>
      </x:c>
      <x:c r="H6" s="7">
        <x:f>SUM(H3:H5)</x:f>
      </x:c>
      <x:c r="I6" s="7">
        <x:f>SUM(I3:I5)</x:f>
      </x:c>
      <x:c r="J6" s="8">
        <x:f>IF(G6=0,"",H6/G6)</x:f>
      </x:c>
      <x:c r="K6" s="3"/>
    </x:row>
    <x:row r="7" spans="1:1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spans="1:1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Chuyền 1</vt:lpstr>
      <vt:lpstr>Chuyền 2</vt:lpstr>
      <vt:lpstr>Chuyền 3</vt:lpstr>
      <vt:lpstr>Chuyền 4</vt:lpstr>
      <vt:lpstr>Chuyền 5</vt:lpstr>
      <vt:lpstr>Chuyền 6</vt:lpstr>
      <vt:lpstr>Cũ</vt:lpstr>
      <vt:lpstr>Chuyền 1!Print_Area</vt:lpstr>
      <vt:lpstr>Chuyền 1!Print_Titles</vt:lpstr>
      <vt:lpstr>Chuyền 2!Print_Area</vt:lpstr>
      <vt:lpstr>Chuyền 2!Print_Titles</vt:lpstr>
      <vt:lpstr>Chuyền 3!Print_Area</vt:lpstr>
      <vt:lpstr>Chuyền 3!Print_Titles</vt:lpstr>
      <vt:lpstr>Chuyền 4!Print_Area</vt:lpstr>
      <vt:lpstr>Chuyền 4!Print_Titles</vt:lpstr>
      <vt:lpstr>Chuyền 5!Print_Area</vt:lpstr>
      <vt:lpstr>Chuyền 5!Print_Titles</vt:lpstr>
      <vt:lpstr>Chuyền 6!Print_Area</vt:lpstr>
      <vt:lpstr>Chuyền 6!Print_Titles</vt:lpstr>
      <vt:lpstr>Cũ!Print_Area</vt:lpstr>
      <vt:lpstr>Cũ!Print_Titles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