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alcChain.xml" ContentType="application/vnd.openxmlformats-officedocument.spreadsheetml.calcChain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ae367a7f2064b66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6f5f108e64e341119ee6e8c494c50656.psmdcp" Id="Re3d4bd10f8884651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1"/>
  </x:bookViews>
  <x:sheets>
    <x:sheet name="Sheet1" sheetId="1" r:id="rId2"/>
    <x:sheet name="Sheet2" sheetId="2" r:id="rId3"/>
  </x:sheets>
  <x:definedNames/>
  <x:calcPr calcId="125725"/>
</x:workbook>
</file>

<file path=xl/calcChain.xml><?xml version="1.0" encoding="utf-8"?>
<x:calcChain xmlns:x="http://schemas.openxmlformats.org/spreadsheetml/2006/main">
  <x:c r="D3" i="1"/>
  <x:c r="F3" i="1"/>
  <x:c r="I3" i="1"/>
  <x:c r="J3" i="1"/>
  <x:c r="D4" i="1"/>
  <x:c r="F4" i="1"/>
  <x:c r="I4" i="1"/>
  <x:c r="J4" i="1"/>
  <x:c r="D5" i="1"/>
  <x:c r="F5" i="1"/>
  <x:c r="I5" i="1"/>
  <x:c r="J5" i="1"/>
  <x:c r="D6" i="1"/>
  <x:c r="F6" i="1"/>
  <x:c r="I6" i="1"/>
  <x:c r="J6" i="1"/>
  <x:c r="D7" i="1"/>
  <x:c r="F7" i="1"/>
  <x:c r="I7" i="1"/>
  <x:c r="J7" i="1"/>
  <x:c r="D8" i="1"/>
  <x:c r="F8" i="1"/>
  <x:c r="I8" i="1"/>
  <x:c r="J8" i="1"/>
  <x:c r="D3" i="2"/>
  <x:c r="F3" i="2"/>
  <x:c r="I3" i="2"/>
  <x:c r="J3" i="2"/>
  <x:c r="D4" i="2"/>
  <x:c r="F4" i="2"/>
  <x:c r="I4" i="2"/>
  <x:c r="J4" i="2"/>
  <x:c r="D5" i="2"/>
  <x:c r="F5" i="2"/>
  <x:c r="I5" i="2"/>
  <x:c r="J5" i="2"/>
  <x:c r="D6" i="2"/>
  <x:c r="F6" i="2"/>
  <x:c r="I6" i="2"/>
  <x:c r="J6" i="2"/>
  <x:c r="D7" i="2"/>
  <x:c r="F7" i="2"/>
  <x:c r="I7" i="2"/>
  <x:c r="J7" i="2"/>
  <x:c r="D8" i="2"/>
  <x:c r="F8" i="2"/>
  <x:c r="I8" i="2"/>
  <x:c r="J8" i="2"/>
  <x:c r="D9" i="2"/>
  <x:c r="F9" i="2"/>
  <x:c r="I9" i="2"/>
  <x:c r="J9" i="2"/>
  <x:c r="D10" i="2"/>
  <x:c r="F10" i="2"/>
  <x:c r="I10" i="2"/>
  <x:c r="J10" i="2"/>
  <x:c r="D11" i="2"/>
  <x:c r="F11" i="2"/>
  <x:c r="I11" i="2"/>
  <x:c r="J11" i="2"/>
  <x:c r="D12" i="2"/>
  <x:c r="F12" i="2"/>
  <x:c r="I12" i="2"/>
  <x:c r="J12" i="2"/>
  <x:c r="D13" i="2"/>
  <x:c r="F13" i="2"/>
  <x:c r="I13" i="2"/>
  <x:c r="J13" i="2"/>
</x:calcChain>
</file>

<file path=xl/sharedStrings.xml><?xml version="1.0" encoding="utf-8"?>
<x:sst xmlns:x="http://schemas.openxmlformats.org/spreadsheetml/2006/main">
  <x:si>
    <x:t>日期：2026/09/29
NGÀY THÁNG</x:t>
  </x:si>
  <x:si>
    <x:t>产品代码
MÃ SẢN PHẨM</x:t>
  </x:si>
  <x:si>
    <x:t>每日工时数
THỜI GIAN LÊN CA</x:t>
  </x:si>
  <x:si>
    <x:t>每小时目标产量PCS
SẢN LƯỢNG MỤC TIÊU MỖI GIỜ</x:t>
  </x:si>
  <x:si>
    <x:t>每日目标产量PCS
MỤC TIỆU TRONG NGÀY</x:t>
  </x:si>
  <x:si>
    <x:t>每日实际产量PCS
SẢN LƯỢNG THỰC TẾ TRONG NGÀY</x:t>
  </x:si>
  <x:si>
    <x:t>当日达成率%
TỶ LỆ ĐẠT TRONG NGÀY</x:t>
  </x:si>
  <x:si>
    <x:t>当月总目标产量PCS
TỔNG SẢN LƯỢNG TRONG THÁNG</x:t>
  </x:si>
  <x:si>
    <x:t>当月累计产能PCS
 LŨY KẾ SẢN LƯỢNG TRONG THÁNG</x:t>
  </x:si>
  <x:si>
    <x:t>当月累计差异PCS
LŨY KẾ CHÊNH LỆCH TRONG THÁNG</x:t>
  </x:si>
  <x:si>
    <x:t>当月总达成率
TỔNG ĐẠT % TRONG THÁNG</x:t>
  </x:si>
  <x:si>
    <x:t>ĐAI LƯNG</x:t>
  </x:si>
  <x:si>
    <x:t>BAO TAY XANH</x:t>
  </x:si>
  <x:si>
    <x:t>日期：2026/09/30
NGÀY THÁNG</x:t>
  </x:si>
  <x:si>
    <x:t>GĂNG TAY TRẮNG</x:t>
  </x:si>
</x:sst>
</file>

<file path=xl/styles.xml><?xml version="1.0" encoding="utf-8"?>
<x:styleSheet xmlns:x="http://schemas.openxmlformats.org/spreadsheetml/2006/main">
  <x:numFmts count="3">
    <x:numFmt numFmtId="0" formatCode=""/>
    <x:numFmt numFmtId="164" formatCode="#,##0"/>
    <x:numFmt numFmtId="165" formatCode="0%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2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  <x:diagonal style="none">
        <x:color rgb="FF000000"/>
      </x:diagonal>
    </x:border>
  </x:borders>
  <x:cellStyleXfs count="4">
    <x:xf numFmtId="0" fontId="0" fillId="0" borderId="0" applyNumberFormat="1" applyFill="1" applyBorder="0" applyAlignment="1" applyProtection="1">
      <x:protection locked="1" hidden="0"/>
    </x:xf>
    <x:xf numFmtId="0" fontId="0" fillId="0" borderId="1" applyNumberFormat="1" applyFill="1" applyBorder="1" applyAlignment="1" applyProtection="1">
      <x:protection locked="1" hidden="0"/>
    </x:xf>
    <x:xf numFmtId="164" fontId="0" fillId="0" borderId="1" applyNumberFormat="1" applyFill="1" applyBorder="1" applyAlignment="1" applyProtection="1">
      <x:protection locked="1" hidden="0"/>
    </x:xf>
    <x:xf numFmtId="165" fontId="0" fillId="0" borderId="1" applyNumberFormat="1" applyFill="1" applyBorder="1" applyAlignment="1" applyProtection="1">
      <x:protection locked="1" hidden="0"/>
    </x:xf>
  </x:cellStyleXfs>
  <x:cellXfs count="6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0" xfId="0" applyNumberFormat="1" applyFill="1" applyBorder="0" applyAlignment="1" applyProtection="1">
      <x:alignment horizontal="general" vertical="bottom" textRotation="0" wrapText="1" indent="0" relativeIndent="0" justifyLastLine="0" shrinkToFit="0" readingOrder="0"/>
      <x:protection locked="1" hidden="0"/>
    </x:xf>
    <x:xf numFmtId="0" fontId="0" fillId="0" borderId="1" xfId="0" applyNumberFormat="1" applyFill="1" applyBorder="1" applyAlignment="1" applyProtection="1">
      <x:alignment horizontal="general" vertical="bottom" textRotation="0" wrapText="1" indent="0" relativeIndent="0" justifyLastLine="0" shrinkToFit="0" readingOrder="0"/>
      <x:protection locked="1" hidden="0"/>
    </x:xf>
    <x:xf numFmtId="0" fontId="0" fillId="0" borderId="1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0" fillId="0" borderId="1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5" fontId="0" fillId="0" borderId="1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calcChain" Target="/xl/calcChain.xml" Id="rId6" /><Relationship Type="http://schemas.openxmlformats.org/officeDocument/2006/relationships/theme" Target="/xl/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K10"/>
  <x:sheetViews>
    <x:sheetView workbookViewId="0"/>
  </x:sheetViews>
  <x:sheetFormatPr defaultRowHeight="15"/>
  <x:cols>
    <x:col min="1" max="11" width="16.710625" style="0" customWidth="1"/>
  </x:cols>
  <x:sheetData>
    <x:row r="1" spans="1:11">
      <x:c r="A1" s="1" t="s">
        <x:v>0</x:v>
      </x:c>
    </x:row>
    <x:row r="2" spans="1:11">
      <x:c r="A2" s="2" t="s">
        <x:v>1</x:v>
      </x:c>
      <x:c r="B2" s="2" t="s">
        <x:v>2</x:v>
      </x:c>
      <x:c r="C2" s="2" t="s">
        <x:v>3</x:v>
      </x:c>
      <x:c r="D2" s="2" t="s">
        <x:v>4</x:v>
      </x:c>
      <x:c r="E2" s="2" t="s">
        <x:v>5</x:v>
      </x:c>
      <x:c r="F2" s="2" t="s">
        <x:v>6</x:v>
      </x:c>
      <x:c r="G2" s="2" t="s">
        <x:v>7</x:v>
      </x:c>
      <x:c r="H2" s="2" t="s">
        <x:v>8</x:v>
      </x:c>
      <x:c r="I2" s="2" t="s">
        <x:v>9</x:v>
      </x:c>
      <x:c r="J2" s="2" t="s">
        <x:v>10</x:v>
      </x:c>
      <x:c r="K2" s="3"/>
    </x:row>
    <x:row r="3" spans="1:11">
      <x:c r="A3" s="3" t="s">
        <x:v>11</x:v>
      </x:c>
      <x:c r="B3" s="3">
        <x:v>10</x:v>
      </x:c>
      <x:c r="C3" s="3">
        <x:v>100</x:v>
      </x:c>
      <x:c r="D3" s="4">
        <x:f>B3*C3</x:f>
      </x:c>
      <x:c r="E3" s="4">
        <x:v>900</x:v>
      </x:c>
      <x:c r="F3" s="5">
        <x:f>+E3/D3</x:f>
      </x:c>
      <x:c r="G3" s="4">
        <x:v>40000</x:v>
      </x:c>
      <x:c r="H3" s="4">
        <x:v>38000</x:v>
      </x:c>
      <x:c r="I3" s="4">
        <x:f>+H3-G3</x:f>
      </x:c>
      <x:c r="J3" s="5">
        <x:f>+H3/G3</x:f>
      </x:c>
      <x:c r="K3" s="3"/>
    </x:row>
    <x:row r="4" spans="1:11">
      <x:c r="A4" s="3" t="s">
        <x:v>12</x:v>
      </x:c>
      <x:c r="B4" s="3">
        <x:v>10</x:v>
      </x:c>
      <x:c r="C4" s="3">
        <x:v>100</x:v>
      </x:c>
      <x:c r="D4" s="4">
        <x:f>B4*C4</x:f>
      </x:c>
      <x:c r="E4" s="4">
        <x:v>900</x:v>
      </x:c>
      <x:c r="F4" s="5">
        <x:f>+E4/D4</x:f>
      </x:c>
      <x:c r="G4" s="4">
        <x:v>40000</x:v>
      </x:c>
      <x:c r="H4" s="4">
        <x:v>39000</x:v>
      </x:c>
      <x:c r="I4" s="4">
        <x:f>+H4-G4</x:f>
      </x:c>
      <x:c r="J4" s="5">
        <x:f>+H4/G4</x:f>
      </x:c>
      <x:c r="K4" s="3"/>
    </x:row>
    <x:row r="5" spans="1:11">
      <x:c r="A5" s="3">
        <x:v>883</x:v>
      </x:c>
      <x:c r="B5" s="3">
        <x:v>10</x:v>
      </x:c>
      <x:c r="C5" s="3">
        <x:v>185</x:v>
      </x:c>
      <x:c r="D5" s="4">
        <x:f>B5*C5</x:f>
      </x:c>
      <x:c r="E5" s="4">
        <x:v>1665</x:v>
      </x:c>
      <x:c r="F5" s="5">
        <x:f>+E5/D5</x:f>
      </x:c>
      <x:c r="G5" s="4">
        <x:v>50000</x:v>
      </x:c>
      <x:c r="H5" s="4">
        <x:v>45000</x:v>
      </x:c>
      <x:c r="I5" s="4">
        <x:f>+H5-G5</x:f>
      </x:c>
      <x:c r="J5" s="5">
        <x:f>+H5/G5</x:f>
      </x:c>
      <x:c r="K5" s="3"/>
    </x:row>
    <x:row r="6" spans="1:11">
      <x:c r="A6" s="3">
        <x:v>700</x:v>
      </x:c>
      <x:c r="B6" s="3">
        <x:v>10</x:v>
      </x:c>
      <x:c r="C6" s="3">
        <x:v>185</x:v>
      </x:c>
      <x:c r="D6" s="4">
        <x:f>B6*C6</x:f>
      </x:c>
      <x:c r="E6" s="4">
        <x:v>1665</x:v>
      </x:c>
      <x:c r="F6" s="5">
        <x:f>+E6/D6</x:f>
      </x:c>
      <x:c r="G6" s="4">
        <x:v>50000</x:v>
      </x:c>
      <x:c r="H6" s="4">
        <x:v>45000</x:v>
      </x:c>
      <x:c r="I6" s="4">
        <x:f>+H6-G6</x:f>
      </x:c>
      <x:c r="J6" s="5">
        <x:f>+H6/G6</x:f>
      </x:c>
      <x:c r="K6" s="3"/>
    </x:row>
    <x:row r="7" spans="1:11">
      <x:c r="A7" s="3">
        <x:v>972</x:v>
      </x:c>
      <x:c r="B7" s="3">
        <x:v>10</x:v>
      </x:c>
      <x:c r="C7" s="3">
        <x:v>185</x:v>
      </x:c>
      <x:c r="D7" s="4">
        <x:f>B7*C7</x:f>
      </x:c>
      <x:c r="E7" s="4">
        <x:v>1800</x:v>
      </x:c>
      <x:c r="F7" s="5">
        <x:f>+E7/D7</x:f>
      </x:c>
      <x:c r="G7" s="4">
        <x:v>50000</x:v>
      </x:c>
      <x:c r="H7" s="4">
        <x:v>55000</x:v>
      </x:c>
      <x:c r="I7" s="4">
        <x:f>+H7-G7</x:f>
      </x:c>
      <x:c r="J7" s="5">
        <x:f>+H7/G7</x:f>
      </x:c>
      <x:c r="K7" s="3"/>
    </x:row>
    <x:row r="8" spans="1:11">
      <x:c r="A8" s="3">
        <x:v>959</x:v>
      </x:c>
      <x:c r="B8" s="3">
        <x:v>10</x:v>
      </x:c>
      <x:c r="C8" s="3">
        <x:v>185</x:v>
      </x:c>
      <x:c r="D8" s="4">
        <x:f>B8*C8</x:f>
      </x:c>
      <x:c r="E8" s="4">
        <x:v>1665</x:v>
      </x:c>
      <x:c r="F8" s="5">
        <x:f>+E8/D8</x:f>
      </x:c>
      <x:c r="G8" s="4">
        <x:v>50000</x:v>
      </x:c>
      <x:c r="H8" s="4">
        <x:v>45000</x:v>
      </x:c>
      <x:c r="I8" s="4">
        <x:f>+H8-G8</x:f>
      </x:c>
      <x:c r="J8" s="5">
        <x:f>+H8/G8</x:f>
      </x:c>
      <x:c r="K8" s="3"/>
    </x:row>
    <x:row r="9" spans="1:11">
      <x:c r="A9" s="3"/>
      <x:c r="B9" s="3"/>
      <x:c r="C9" s="3"/>
      <x:c r="D9" s="3"/>
      <x:c r="E9" s="3"/>
      <x:c r="F9" s="3"/>
      <x:c r="G9" s="3"/>
      <x:c r="H9" s="3"/>
      <x:c r="I9" s="3"/>
      <x:c r="J9" s="3"/>
      <x:c r="K9" s="3"/>
    </x:row>
    <x:row r="10" spans="1:11">
      <x:c r="A10" s="3"/>
      <x:c r="B10" s="3"/>
      <x:c r="C10" s="3"/>
      <x:c r="D10" s="3"/>
      <x:c r="E10" s="3"/>
      <x:c r="F10" s="3"/>
      <x:c r="G10" s="3"/>
      <x:c r="H10" s="3"/>
      <x:c r="I10" s="3"/>
      <x:c r="J10" s="3"/>
      <x:c r="K10" s="3"/>
    </x:row>
  </x:sheetData>
  <x:mergeCells count="1">
    <x:mergeCell ref="A1:B1"/>
  </x:mergeCell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K15"/>
  <x:sheetViews>
    <x:sheetView workbookViewId="0"/>
  </x:sheetViews>
  <x:sheetFormatPr defaultRowHeight="15"/>
  <x:cols>
    <x:col min="1" max="11" width="16.710625" style="0" customWidth="1"/>
  </x:cols>
  <x:sheetData>
    <x:row r="1" spans="1:11">
      <x:c r="A1" s="1" t="s">
        <x:v>13</x:v>
      </x:c>
    </x:row>
    <x:row r="2" spans="1:11">
      <x:c r="A2" s="2" t="s">
        <x:v>1</x:v>
      </x:c>
      <x:c r="B2" s="2" t="s">
        <x:v>2</x:v>
      </x:c>
      <x:c r="C2" s="2" t="s">
        <x:v>3</x:v>
      </x:c>
      <x:c r="D2" s="2" t="s">
        <x:v>4</x:v>
      </x:c>
      <x:c r="E2" s="2" t="s">
        <x:v>5</x:v>
      </x:c>
      <x:c r="F2" s="2" t="s">
        <x:v>6</x:v>
      </x:c>
      <x:c r="G2" s="2" t="s">
        <x:v>7</x:v>
      </x:c>
      <x:c r="H2" s="2" t="s">
        <x:v>8</x:v>
      </x:c>
      <x:c r="I2" s="2" t="s">
        <x:v>9</x:v>
      </x:c>
      <x:c r="J2" s="2" t="s">
        <x:v>10</x:v>
      </x:c>
      <x:c r="K2" s="3"/>
    </x:row>
    <x:row r="3" spans="1:11">
      <x:c r="A3" s="3" t="s">
        <x:v>11</x:v>
      </x:c>
      <x:c r="B3" s="3">
        <x:v>10</x:v>
      </x:c>
      <x:c r="C3" s="3">
        <x:v>100</x:v>
      </x:c>
      <x:c r="D3" s="4">
        <x:f>B3*C3</x:f>
      </x:c>
      <x:c r="E3" s="4">
        <x:v>1000</x:v>
      </x:c>
      <x:c r="F3" s="5">
        <x:f>+E3/D3</x:f>
      </x:c>
      <x:c r="G3" s="4">
        <x:v>40000</x:v>
      </x:c>
      <x:c r="H3" s="4">
        <x:v>38000</x:v>
      </x:c>
      <x:c r="I3" s="4">
        <x:f>+H3-G3</x:f>
      </x:c>
      <x:c r="J3" s="5">
        <x:f>+H3/G3</x:f>
      </x:c>
      <x:c r="K3" s="3"/>
    </x:row>
    <x:row r="4" spans="1:11">
      <x:c r="A4" s="3" t="s">
        <x:v>12</x:v>
      </x:c>
      <x:c r="B4" s="3">
        <x:v>10</x:v>
      </x:c>
      <x:c r="C4" s="3">
        <x:v>100</x:v>
      </x:c>
      <x:c r="D4" s="4">
        <x:f>B4*C4</x:f>
      </x:c>
      <x:c r="E4" s="4">
        <x:v>1000</x:v>
      </x:c>
      <x:c r="F4" s="5">
        <x:f>+E4/D4</x:f>
      </x:c>
      <x:c r="G4" s="4">
        <x:v>40000</x:v>
      </x:c>
      <x:c r="H4" s="4">
        <x:v>39000</x:v>
      </x:c>
      <x:c r="I4" s="4">
        <x:f>+H4-G4</x:f>
      </x:c>
      <x:c r="J4" s="5">
        <x:f>+H4/G4</x:f>
      </x:c>
      <x:c r="K4" s="3"/>
    </x:row>
    <x:row r="5" spans="1:11">
      <x:c r="A5" s="3">
        <x:v>883</x:v>
      </x:c>
      <x:c r="B5" s="3">
        <x:v>10</x:v>
      </x:c>
      <x:c r="C5" s="3">
        <x:v>185</x:v>
      </x:c>
      <x:c r="D5" s="4">
        <x:f>B5*C5</x:f>
      </x:c>
      <x:c r="E5" s="4">
        <x:v>1850</x:v>
      </x:c>
      <x:c r="F5" s="5">
        <x:f>+E5/D5</x:f>
      </x:c>
      <x:c r="G5" s="4">
        <x:v>50000</x:v>
      </x:c>
      <x:c r="H5" s="4">
        <x:v>45000</x:v>
      </x:c>
      <x:c r="I5" s="4">
        <x:f>+H5-G5</x:f>
      </x:c>
      <x:c r="J5" s="5">
        <x:f>+H5/G5</x:f>
      </x:c>
      <x:c r="K5" s="3"/>
    </x:row>
    <x:row r="6" spans="1:11">
      <x:c r="A6" s="3">
        <x:v>700</x:v>
      </x:c>
      <x:c r="B6" s="3">
        <x:v>10</x:v>
      </x:c>
      <x:c r="C6" s="3">
        <x:v>185</x:v>
      </x:c>
      <x:c r="D6" s="4">
        <x:f>B6*C6</x:f>
      </x:c>
      <x:c r="E6" s="4">
        <x:v>1850</x:v>
      </x:c>
      <x:c r="F6" s="5">
        <x:f>+E6/D6</x:f>
      </x:c>
      <x:c r="G6" s="4">
        <x:v>50000</x:v>
      </x:c>
      <x:c r="H6" s="4">
        <x:v>45000</x:v>
      </x:c>
      <x:c r="I6" s="4">
        <x:f>+H6-G6</x:f>
      </x:c>
      <x:c r="J6" s="5">
        <x:f>+H6/G6</x:f>
      </x:c>
      <x:c r="K6" s="3"/>
    </x:row>
    <x:row r="7" spans="1:11">
      <x:c r="A7" s="3">
        <x:v>972</x:v>
      </x:c>
      <x:c r="B7" s="3">
        <x:v>10</x:v>
      </x:c>
      <x:c r="C7" s="3">
        <x:v>185</x:v>
      </x:c>
      <x:c r="D7" s="4">
        <x:f>B7*C7</x:f>
      </x:c>
      <x:c r="E7" s="4">
        <x:v>2000</x:v>
      </x:c>
      <x:c r="F7" s="5">
        <x:f>+E7/D7</x:f>
      </x:c>
      <x:c r="G7" s="4">
        <x:v>50000</x:v>
      </x:c>
      <x:c r="H7" s="4">
        <x:v>55000</x:v>
      </x:c>
      <x:c r="I7" s="4">
        <x:f>+H7-G7</x:f>
      </x:c>
      <x:c r="J7" s="5">
        <x:f>+H7/G7</x:f>
      </x:c>
      <x:c r="K7" s="3"/>
    </x:row>
    <x:row r="8" spans="1:11">
      <x:c r="A8" s="3">
        <x:v>959</x:v>
      </x:c>
      <x:c r="B8" s="3">
        <x:v>10</x:v>
      </x:c>
      <x:c r="C8" s="3">
        <x:v>185</x:v>
      </x:c>
      <x:c r="D8" s="4">
        <x:f>B8*C8</x:f>
      </x:c>
      <x:c r="E8" s="4">
        <x:v>1850</x:v>
      </x:c>
      <x:c r="F8" s="5">
        <x:f>+E8/D8</x:f>
      </x:c>
      <x:c r="G8" s="4">
        <x:v>50000</x:v>
      </x:c>
      <x:c r="H8" s="4">
        <x:v>45000</x:v>
      </x:c>
      <x:c r="I8" s="4">
        <x:f>+H8-G8</x:f>
      </x:c>
      <x:c r="J8" s="5">
        <x:f>+H8/G8</x:f>
      </x:c>
      <x:c r="K8" s="3"/>
    </x:row>
    <x:row r="9" spans="1:11">
      <x:c r="A9" s="3">
        <x:v>1201</x:v>
      </x:c>
      <x:c r="B9" s="3">
        <x:v>8</x:v>
      </x:c>
      <x:c r="C9" s="3">
        <x:v>150</x:v>
      </x:c>
      <x:c r="D9" s="4">
        <x:f>B9*C9</x:f>
      </x:c>
      <x:c r="E9" s="4">
        <x:v>1020</x:v>
      </x:c>
      <x:c r="F9" s="5">
        <x:f>+E9/D9</x:f>
      </x:c>
      <x:c r="G9" s="4">
        <x:v>30000</x:v>
      </x:c>
      <x:c r="H9" s="4">
        <x:v>24500</x:v>
      </x:c>
      <x:c r="I9" s="4">
        <x:f>+H9-G9</x:f>
      </x:c>
      <x:c r="J9" s="5">
        <x:f>+H9/G9</x:f>
      </x:c>
      <x:c r="K9" s="3"/>
    </x:row>
    <x:row r="10" spans="1:11">
      <x:c r="A10" s="3">
        <x:v>1305</x:v>
      </x:c>
      <x:c r="B10" s="3">
        <x:v>8</x:v>
      </x:c>
      <x:c r="C10" s="3">
        <x:v>150</x:v>
      </x:c>
      <x:c r="D10" s="4">
        <x:f>B10*C10</x:f>
      </x:c>
      <x:c r="E10" s="4">
        <x:v>1150</x:v>
      </x:c>
      <x:c r="F10" s="5">
        <x:f>+E10/D10</x:f>
      </x:c>
      <x:c r="G10" s="4">
        <x:v>30000</x:v>
      </x:c>
      <x:c r="H10" s="4">
        <x:v>28800</x:v>
      </x:c>
      <x:c r="I10" s="4">
        <x:f>+H10-G10</x:f>
      </x:c>
      <x:c r="J10" s="5">
        <x:f>+H10/G10</x:f>
      </x:c>
      <x:c r="K10" s="3"/>
    </x:row>
    <x:row r="11" spans="1:11">
      <x:c r="A11" s="3" t="s">
        <x:v>14</x:v>
      </x:c>
      <x:c r="B11" s="3">
        <x:v>10</x:v>
      </x:c>
      <x:c r="C11" s="3">
        <x:v>120</x:v>
      </x:c>
      <x:c r="D11" s="4">
        <x:f>B11*C11</x:f>
      </x:c>
      <x:c r="E11" s="4">
        <x:v>1310</x:v>
      </x:c>
      <x:c r="F11" s="5">
        <x:f>+E11/D11</x:f>
      </x:c>
      <x:c r="G11" s="4">
        <x:v>36000</x:v>
      </x:c>
      <x:c r="H11" s="4">
        <x:v>36500</x:v>
      </x:c>
      <x:c r="I11" s="4">
        <x:f>+H11-G11</x:f>
      </x:c>
      <x:c r="J11" s="5">
        <x:f>+H11/G11</x:f>
      </x:c>
      <x:c r="K11" s="3"/>
    </x:row>
    <x:row r="12" spans="1:11">
      <x:c r="A12" s="3">
        <x:v>640</x:v>
      </x:c>
      <x:c r="B12" s="3">
        <x:v>10</x:v>
      </x:c>
      <x:c r="C12" s="3">
        <x:v>200</x:v>
      </x:c>
      <x:c r="D12" s="4">
        <x:f>B12*C12</x:f>
      </x:c>
      <x:c r="E12" s="4">
        <x:v>1700</x:v>
      </x:c>
      <x:c r="F12" s="5">
        <x:f>+E12/D12</x:f>
      </x:c>
      <x:c r="G12" s="4">
        <x:v>60000</x:v>
      </x:c>
      <x:c r="H12" s="4">
        <x:v>51000</x:v>
      </x:c>
      <x:c r="I12" s="4">
        <x:f>+H12-G12</x:f>
      </x:c>
      <x:c r="J12" s="5">
        <x:f>+H12/G12</x:f>
      </x:c>
      <x:c r="K12" s="3"/>
    </x:row>
    <x:row r="13" spans="1:11">
      <x:c r="A13" s="3">
        <x:v>515</x:v>
      </x:c>
      <x:c r="B13" s="3">
        <x:v>9</x:v>
      </x:c>
      <x:c r="C13" s="3">
        <x:v>160</x:v>
      </x:c>
      <x:c r="D13" s="4">
        <x:f>B13*C13</x:f>
      </x:c>
      <x:c r="E13" s="4">
        <x:v>1500</x:v>
      </x:c>
      <x:c r="F13" s="5">
        <x:f>+E13/D13</x:f>
      </x:c>
      <x:c r="G13" s="4">
        <x:v>42000</x:v>
      </x:c>
      <x:c r="H13" s="4">
        <x:v>40100</x:v>
      </x:c>
      <x:c r="I13" s="4">
        <x:f>+H13-G13</x:f>
      </x:c>
      <x:c r="J13" s="5">
        <x:f>+H13/G13</x:f>
      </x:c>
      <x:c r="K13" s="3"/>
    </x:row>
    <x:row r="14" spans="1:11">
      <x:c r="A14" s="3"/>
      <x:c r="B14" s="3"/>
      <x:c r="C14" s="3"/>
      <x:c r="D14" s="3"/>
      <x:c r="E14" s="3"/>
      <x:c r="F14" s="3"/>
      <x:c r="G14" s="3"/>
      <x:c r="H14" s="3"/>
      <x:c r="I14" s="3"/>
      <x:c r="J14" s="3"/>
      <x:c r="K14" s="3"/>
    </x:row>
    <x:row r="15" spans="1:11">
      <x:c r="A15" s="3"/>
      <x:c r="B15" s="3"/>
      <x:c r="C15" s="3"/>
      <x:c r="D15" s="3"/>
      <x:c r="E15" s="3"/>
      <x:c r="F15" s="3"/>
      <x:c r="G15" s="3"/>
      <x:c r="H15" s="3"/>
      <x:c r="I15" s="3"/>
      <x:c r="J15" s="3"/>
      <x:c r="K15" s="3"/>
    </x:row>
  </x:sheetData>
  <x:mergeCells count="1">
    <x:mergeCell ref="A1:B1"/>
  </x:mergeCell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Sheet1</vt:lpstr>
      <vt:lpstr>Sheet2</vt:lpstr>
      <vt:lpstr>Sheet1!Print_Area</vt:lpstr>
      <vt:lpstr>Sheet1!Print_Titles</vt:lpstr>
      <vt:lpstr>Sheet2!Print_Area</vt:lpstr>
      <vt:lpstr>Sheet2!Print_Titles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