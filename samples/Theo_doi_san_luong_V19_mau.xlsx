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6"/>
  </bookViews>
  <sheets>
    <sheet name="HUONG_DAN" sheetId="1" state="visible" r:id="rId3"/>
    <sheet name="CAU_HINH_CA" sheetId="2" state="visible" r:id="rId4"/>
    <sheet name="DANH_SACH_CHUYEN" sheetId="3" state="visible" r:id="rId5"/>
    <sheet name="DANH_SACH_SAN_PHAM" sheetId="4" state="visible" r:id="rId6"/>
    <sheet name="DANH_SACH_LY_DO" sheetId="5" state="visible" r:id="rId7"/>
    <sheet name="LICH_LAM_VIEC" sheetId="6" state="visible" r:id="rId8"/>
    <sheet name="NHAP_LIEU" sheetId="7" state="visible" r:id="rId9"/>
    <sheet name="MUC_TIEU_THANG" sheetId="8" state="visible" r:id="rId10"/>
    <sheet name="HIEN_THI" sheetId="9" state="visible" r:id="rId11"/>
    <sheet name="BAO_CAO_THANG" sheetId="10" state="visible" r:id="rId12"/>
  </sheets>
  <definedNames>
    <definedName function="false" hidden="false" name="DS_CHUYEN" vbProcedure="false">OFFSET(DANH_SACH_CHUYEN!$B$5,0,0,MAX(1,COUNTA(DANH_SACH_CHUYEN!$B$5:$B$1000)),1)</definedName>
    <definedName function="false" hidden="false" name="DS_LY_DO" vbProcedure="false">OFFSET(DANH_SACH_LY_DO!$A$5,0,0,MAX(1,COUNTA(DANH_SACH_LY_DO!$A$5:$A$1000)),1)</definedName>
    <definedName function="false" hidden="false" name="DS_MA_CA" vbProcedure="false">OFFSET(CAU_HINH_CA!$A$5,0,0,MAX(1,COUNTA(CAU_HINH_CA!$A$5:$A$50)),1)</definedName>
    <definedName function="false" hidden="false" name="DS_MA_SAN_PHAM" vbProcedure="false">OFFSET(DANH_SACH_SAN_PHAM!$A$5,0,0,MAX(1,COUNTA(DANH_SACH_SAN_PHAM!$A$5:$A$1000)),1)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<sst xmlns="http://schemas.openxmlformats.org/spreadsheetml/2006/main" count="534" uniqueCount="283">
  <si>
    <t xml:space="preserve">HƯỚNG DẪN SỬ DỤNG – THEO DÕI SẢN LƯỢNG V19</t>
  </si>
  <si>
    <t xml:space="preserve">Mỗi sheet dữ liệu là một Excel Table (lọc/sắp xếp ở dòng 4). Cột có tiêu đề VÀNG (dòng 3) là cột nhập tay;</t>
  </si>
  <si>
    <t xml:space="preserve">cột có tiêu đề XANH NHẠT là công thức, KHÔNG gõ đè. Thêm dữ liệu: gõ vào dòng ngay dưới bảng, bảng tự nới ra và tự điền công thức.</t>
  </si>
  <si>
    <t xml:space="preserve">Dữ liệu bắt đầu từ dòng 5 ở mọi sheet. Dòng 2–3 là tiêu đề Trung/Việt, dòng 4 là số thứ tự cột.</t>
  </si>
  <si>
    <t xml:space="preserve">1. Danh mục (ít khi đổi)</t>
  </si>
  <si>
    <t xml:space="preserve">CAU_HINH_CA: mã ca và các đợt làm việc. TỔNG GIỜ tự tính từ giờ bắt đầu/kết thúc.</t>
  </si>
  <si>
    <t xml:space="preserve">DANH_SACH_CHUYEN: thứ tự ở đây là thứ tự hiển thị trên TV. Thêm chuyền thì thêm 1 dòng ở cả sheet này và bảng HIEN_THI.</t>
  </si>
  <si>
    <t xml:space="preserve">DANH_SACH_SAN_PHAM: mọi mã sản phẩm. Mã được lưu dạng chữ (883 và "883" là một).</t>
  </si>
  <si>
    <t xml:space="preserve">2. Đầu tháng</t>
  </si>
  <si>
    <t xml:space="preserve">MUC_TIEU_THANG: mỗi sản phẩm một dòng cho mỗi tháng. Cột THÁNG gõ dạng 10/2026. Các cột lũy kế tự tính.</t>
  </si>
  <si>
    <t xml:space="preserve">3. Hằng ngày – sheet NHAP_LIEU</t>
  </si>
  <si>
    <t xml:space="preserve">Mỗi chuyền một dòng mỗi ngày: NGÀY, CHUYỀN, MÃ SẢN PHẨM, MÃ CA, MỤC TIÊU MỖI GIỜ.</t>
  </si>
  <si>
    <t xml:space="preserve">Sau mỗi giờ, gõ số lượng làm được vào cột GIỜ 1 … GIỜ 12 (GIỜ 1 = đợt đầu tiên của ca).</t>
  </si>
  <si>
    <t xml:space="preserve">Máy tự tính: mục tiêu ngày = giờ ca × mục tiêu mỗi giờ (làm tròn), thực tế, % đạt, còn thiếu, tiến độ theo giờ,</t>
  </si>
  <si>
    <t xml:space="preserve">và THIẾU HÔM TRƯỚC = số còn thiếu của ngày làm việc gần nhất trước đó của cùng chuyền.</t>
  </si>
  <si>
    <t xml:space="preserve">Cột KIỂM TRA phải là OK. Nếu báo TRÙNG / THIẾU MÃ CA / CHƯA CÓ MỤC TIÊU THÁNG thì sửa dòng đó.</t>
  </si>
  <si>
    <t xml:space="preserve">4. Màn hình TV – sheet HIEN_THI</t>
  </si>
  <si>
    <t xml:space="preserve">Toàn bộ là công thức, KHÔNG nhập tay. App TV chỉ đọc sheet này: mỗi dòng của bảng là một chuyền, dòng TỔNG CỘNG nằm ngay dưới bảng (cách 1 dòng).</t>
  </si>
  <si>
    <t xml:space="preserve">Mặc định hiển thị NGÀY MỚI NHẤT có trong NHAP_LIEU. Muốn xem ngày khác thì gõ ngày vào ô J1; phải xóa J1 thì bảng mới tự theo ngày mới.</t>
  </si>
  <si>
    <t xml:space="preserve">Không đổi tên sheet, không chèn/xóa cột ở HIEN_THI, vì app đọc theo vị trí cột.</t>
  </si>
  <si>
    <t xml:space="preserve">5. Lịch làm việc, lý do, công nhân, hàng lỗi (mới ở V19)</t>
  </si>
  <si>
    <t xml:space="preserve">LICH_LAM_VIEC: Chủ nhật mặc định nghỉ. Ngày thường được nghỉ thì thêm dòng LOẠI = Nghỉ; Chủ nhật đi làm thì LOẠI = Làm bù.</t>
  </si>
  <si>
    <t xml:space="preserve">Từ lịch này file tính số ngày làm việc còn lại và CẦN LÀM MỖI NGÀY ĐỂ KỊP THÁNG = (mục tiêu tháng − lũy kế trước ngày đang xem) / ngày còn lại.</t>
  </si>
  <si>
    <t xml:space="preserve">NHAP_LIEU có thêm SỐ CÔNG NHÂN, SỐ LỖI, LÝ DO KHÔNG ĐẠT (chọn từ DANH_SACH_LY_DO), PHÚT DỪNG MÁY. Ngày không đạt mà chưa ghi lý do thì KIỂM TRA sẽ báo.</t>
  </si>
  <si>
    <t xml:space="preserve">MUC_TIEU_THANG có thêm THIẾU THÁNG TRƯỚC (chỉ hiển thị, không cộng vào mục tiêu), số ngày làm việc và bình quân cần mỗi ngày.</t>
  </si>
  <si>
    <t xml:space="preserve">BAO_CAO_THANG: chọn tháng ở F2 (trống = tháng mới nhất). Có sản lượng và % đạt theo chuyền × ngày, tổng hợp lý do, năng suất, hàng lỗi và biểu đồ.</t>
  </si>
  <si>
    <t xml:space="preserve">6. Dung lượng</t>
  </si>
  <si>
    <t xml:space="preserve">Công thức tổng hợp tính tới dòng 10.004 của NHAP_LIEU (khoảng 4–5 năm với 6 chuyền).</t>
  </si>
  <si>
    <t xml:space="preserve">Tiêu đề cột nhập tay</t>
  </si>
  <si>
    <t xml:space="preserve">Tiêu đề cột công thức</t>
  </si>
  <si>
    <r>
      <rPr>
        <b val="true"/>
        <sz val="14"/>
        <color rgb="FFFFFFFF"/>
        <rFont val="WenQuanYi Zen Hei"/>
        <family val="2"/>
      </rPr>
      <t xml:space="preserve">工作時間設定 </t>
    </r>
    <r>
      <rPr>
        <b val="true"/>
        <sz val="14"/>
        <color rgb="FFFFFFFF"/>
        <rFont val="Calibri"/>
        <family val="0"/>
        <charset val="1"/>
      </rPr>
      <t xml:space="preserve">/ CẤU HÌNH CA</t>
    </r>
  </si>
  <si>
    <t xml:space="preserve">班次代碼</t>
  </si>
  <si>
    <t xml:space="preserve">班次名稱</t>
  </si>
  <si>
    <t xml:space="preserve">總工時</t>
  </si>
  <si>
    <t xml:space="preserve">第一時段開始</t>
  </si>
  <si>
    <t xml:space="preserve">第一時段結束</t>
  </si>
  <si>
    <t xml:space="preserve">第二時段開始</t>
  </si>
  <si>
    <t xml:space="preserve">第二時段結束</t>
  </si>
  <si>
    <t xml:space="preserve">第三時段開始</t>
  </si>
  <si>
    <t xml:space="preserve">第三時段結束</t>
  </si>
  <si>
    <t xml:space="preserve">啟用狀態</t>
  </si>
  <si>
    <t xml:space="preserve">MÃ CA</t>
  </si>
  <si>
    <t xml:space="preserve">TÊN CA</t>
  </si>
  <si>
    <t xml:space="preserve">TỔNG GIỜ
(tự tính)</t>
  </si>
  <si>
    <t xml:space="preserve">ĐỢT 1 BẮT ĐẦU</t>
  </si>
  <si>
    <t xml:space="preserve">ĐỢT 1 KẾT THÚC</t>
  </si>
  <si>
    <t xml:space="preserve">ĐỢT 2 BẮT ĐẦU</t>
  </si>
  <si>
    <t xml:space="preserve">ĐỢT 2 KẾT THÚC</t>
  </si>
  <si>
    <t xml:space="preserve">ĐỢT 3 BẮT ĐẦU</t>
  </si>
  <si>
    <t xml:space="preserve">ĐỢT 3 KẾT THÚC</t>
  </si>
  <si>
    <t xml:space="preserve">TRẠNG THÁI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</si>
  <si>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</si>
  <si>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</si>
  <si>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</si>
  <si>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</si>
  <si>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</si>
  <si>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</si>
  <si>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</si>
  <si>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</si>
  <si>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</si>
  <si>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</si>
  <si>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8H</t>
  </si>
  <si>
    <t xml:space="preserve">8 giờ</t>
  </si>
  <si>
    <t xml:space="preserve">Đang sử dụng</t>
  </si>
  <si>
    <t xml:space="preserve">9H</t>
  </si>
  <si>
    <t xml:space="preserve">9 giờ</t>
  </si>
  <si>
    <t xml:space="preserve">10H</t>
  </si>
  <si>
    <t xml:space="preserve">10 giờ</t>
  </si>
  <si>
    <t xml:space="preserve">11H30</t>
  </si>
  <si>
    <t xml:space="preserve">11 giờ 30 phút</t>
  </si>
  <si>
    <r>
      <rPr>
        <b val="true"/>
        <sz val="14"/>
        <color rgb="FFFFFFFF"/>
        <rFont val="WenQuanYi Zen Hei"/>
        <family val="2"/>
      </rPr>
      <t xml:space="preserve">產線清單 </t>
    </r>
    <r>
      <rPr>
        <b val="true"/>
        <sz val="14"/>
        <color rgb="FFFFFFFF"/>
        <rFont val="Calibri"/>
        <family val="0"/>
        <charset val="1"/>
      </rPr>
      <t xml:space="preserve">/ DANH SÁCH CHUYỀN</t>
    </r>
  </si>
  <si>
    <t xml:space="preserve">產線代碼</t>
  </si>
  <si>
    <t xml:space="preserve">產線名稱</t>
  </si>
  <si>
    <t xml:space="preserve">線長姓名</t>
  </si>
  <si>
    <t xml:space="preserve">MÃ CHUYỀN</t>
  </si>
  <si>
    <t xml:space="preserve">TÊN CHUYỀN</t>
  </si>
  <si>
    <t xml:space="preserve">TÊN TRƯỞNG CHUYỀN</t>
  </si>
  <si>
    <t xml:space="preserve">CH01</t>
  </si>
  <si>
    <t xml:space="preserve">Chuyền 1</t>
  </si>
  <si>
    <t xml:space="preserve">CH02</t>
  </si>
  <si>
    <t xml:space="preserve">Chuyền 2</t>
  </si>
  <si>
    <t xml:space="preserve">CH03</t>
  </si>
  <si>
    <t xml:space="preserve">Chuyền 3</t>
  </si>
  <si>
    <t xml:space="preserve">CH04</t>
  </si>
  <si>
    <t xml:space="preserve">Chuyền 4</t>
  </si>
  <si>
    <t xml:space="preserve">CH05</t>
  </si>
  <si>
    <t xml:space="preserve">Chuyền 5</t>
  </si>
  <si>
    <t xml:space="preserve">CH06</t>
  </si>
  <si>
    <t xml:space="preserve">Chuyền 6</t>
  </si>
  <si>
    <r>
      <rPr>
        <b val="true"/>
        <sz val="14"/>
        <color rgb="FFFFFFFF"/>
        <rFont val="WenQuanYi Zen Hei"/>
        <family val="2"/>
      </rPr>
      <t xml:space="preserve">產品清單 </t>
    </r>
    <r>
      <rPr>
        <b val="true"/>
        <sz val="14"/>
        <color rgb="FFFFFFFF"/>
        <rFont val="Calibri"/>
        <family val="0"/>
        <charset val="1"/>
      </rPr>
      <t xml:space="preserve">/ DANH SÁCH SẢN PHẨM</t>
    </r>
  </si>
  <si>
    <t xml:space="preserve">产品代码</t>
  </si>
  <si>
    <t xml:space="preserve">产品名称</t>
  </si>
  <si>
    <t xml:space="preserve">備註</t>
  </si>
  <si>
    <t xml:space="preserve">MÃ SẢN PHẨM</t>
  </si>
  <si>
    <t xml:space="preserve">TÊN SẢN PHẨM</t>
  </si>
  <si>
    <t xml:space="preserve">GHI CHÚ</t>
  </si>
  <si>
    <t xml:space="preserve">ĐAI LƯNG</t>
  </si>
  <si>
    <t xml:space="preserve">BAO TAY XANH</t>
  </si>
  <si>
    <t xml:space="preserve">883</t>
  </si>
  <si>
    <t xml:space="preserve">567</t>
  </si>
  <si>
    <t xml:space="preserve">Test</t>
  </si>
  <si>
    <t xml:space="preserve">MÃ 9H</t>
  </si>
  <si>
    <t xml:space="preserve">Mã thử từ V17</t>
  </si>
  <si>
    <r>
      <rPr>
        <b val="true"/>
        <sz val="14"/>
        <color rgb="FFFFFFFF"/>
        <rFont val="WenQuanYi Zen Hei"/>
        <family val="2"/>
      </rPr>
      <t xml:space="preserve">未達原因清單 </t>
    </r>
    <r>
      <rPr>
        <b val="true"/>
        <sz val="14"/>
        <color rgb="FFFFFFFF"/>
        <rFont val="Calibri"/>
        <family val="0"/>
        <charset val="1"/>
      </rPr>
      <t xml:space="preserve">/ DANH SÁCH LÝ DO KHÔNG ĐẠT</t>
    </r>
  </si>
  <si>
    <t xml:space="preserve">原因</t>
  </si>
  <si>
    <t xml:space="preserve">LÝ DO KHÔNG ĐẠT</t>
  </si>
  <si>
    <t xml:space="preserve">Thiếu vật tư</t>
  </si>
  <si>
    <t xml:space="preserve">Hư máy</t>
  </si>
  <si>
    <t xml:space="preserve">Thiếu người</t>
  </si>
  <si>
    <t xml:space="preserve">Chờ hàng / chờ khuôn</t>
  </si>
  <si>
    <t xml:space="preserve">Sửa hàng lỗi</t>
  </si>
  <si>
    <t xml:space="preserve">Khác</t>
  </si>
  <si>
    <r>
      <rPr>
        <b val="true"/>
        <sz val="14"/>
        <color rgb="FFFFFFFF"/>
        <rFont val="WenQuanYi Zen Hei"/>
        <family val="2"/>
      </rPr>
      <t xml:space="preserve">工作日曆 </t>
    </r>
    <r>
      <rPr>
        <b val="true"/>
        <sz val="14"/>
        <color rgb="FFFFFFFF"/>
        <rFont val="Calibri"/>
        <family val="0"/>
        <charset val="1"/>
      </rPr>
      <t xml:space="preserve">/ LỊCH LÀM VIỆC (Chủ nhật mặc định nghỉ)</t>
    </r>
  </si>
  <si>
    <t xml:space="preserve">日期</t>
  </si>
  <si>
    <t xml:space="preserve">類型</t>
  </si>
  <si>
    <t xml:space="preserve">星期</t>
  </si>
  <si>
    <t xml:space="preserve">NGÀY</t>
  </si>
  <si>
    <t xml:space="preserve">LOẠI</t>
  </si>
  <si>
    <t xml:space="preserve">THỨ</t>
  </si>
  <si>
    <t xml:space="preserve">Nghỉ</t>
  </si>
  <si>
    <t xml:space="preserve">Tết Dương lịch (ví dụ)</t>
  </si>
  <si>
    <t xml:space="preserve">Làm bù</t>
  </si>
  <si>
    <r>
      <rPr>
        <b val="true"/>
        <sz val="14"/>
        <color rgb="FFFFFFFF"/>
        <rFont val="WenQuanYi Zen Hei"/>
        <family val="2"/>
      </rPr>
      <t xml:space="preserve">生產計劃與每小時產量 </t>
    </r>
    <r>
      <rPr>
        <b val="true"/>
        <sz val="14"/>
        <color rgb="FFFFFFFF"/>
        <rFont val="Calibri"/>
        <family val="0"/>
        <charset val="1"/>
      </rPr>
      <t xml:space="preserve">/ NHẬP LIỆU HẰNG NGÀY (KẾ HOẠCH + SẢN LƯỢNG THEO GIỜ)</t>
    </r>
  </si>
  <si>
    <t xml:space="preserve">產線</t>
  </si>
  <si>
    <t xml:space="preserve">工作時間</t>
  </si>
  <si>
    <r>
      <rPr>
        <b val="true"/>
        <sz val="10"/>
        <color rgb="FFFFFFFF"/>
        <rFont val="WenQuanYi Zen Hei"/>
        <family val="2"/>
      </rPr>
      <t xml:space="preserve">每小时目标产量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</si>
  <si>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每日目标产量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</si>
  <si>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</si>
  <si>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</si>
  <si>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</si>
  <si>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</si>
  <si>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</si>
  <si>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</si>
  <si>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</si>
  <si>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</si>
  <si>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</si>
  <si>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</si>
  <si>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</si>
  <si>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第</t>
    </r>
    <r>
      <rPr>
        <b val="true"/>
        <sz val="10"/>
        <color rgb="FFFFFFFF"/>
        <rFont val="Calibri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小時</t>
    </r>
  </si>
  <si>
    <r>
      <rPr>
        <b val="true"/>
        <sz val="10"/>
        <color rgb="FFFFFFFF"/>
        <rFont val="WenQuanYi Zen Hei"/>
        <family val="2"/>
      </rPr>
      <t xml:space="preserve">每日实际产量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</si>
  <si>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当日达成率</t>
    </r>
    <r>
      <rPr>
        <b val="true"/>
        <sz val="10"/>
        <color rgb="FFFFFFFF"/>
        <rFont val="Calibri"/>
        <family val="0"/>
        <charset val="1"/>
      </rPr>
      <t xml:space="preserve">%</t>
    </r>
  </si>
  <si>
    <r>
      <rPr>
        <b val="true"/>
        <sz val="10"/>
        <color rgb="FFFFFFFF"/>
        <rFont val="WenQuanYi Zen Hei"/>
        <family val="2"/>
      </rPr>
      <t xml:space="preserve">差異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</si>
  <si>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剩餘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</si>
  <si>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已輸入小時數</t>
  </si>
  <si>
    <r>
      <rPr>
        <b val="true"/>
        <sz val="10"/>
        <color rgb="FFFFFFFF"/>
        <rFont val="WenQuanYi Zen Hei"/>
        <family val="2"/>
      </rPr>
      <t xml:space="preserve">累計目標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</si>
  <si>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進度達成率</t>
    </r>
    <r>
      <rPr>
        <b val="true"/>
        <sz val="10"/>
        <color rgb="FFFFFFFF"/>
        <rFont val="Calibri"/>
        <family val="0"/>
        <charset val="1"/>
      </rPr>
      <t xml:space="preserve">%</t>
    </r>
  </si>
  <si>
    <t xml:space="preserve">前一工作日</t>
  </si>
  <si>
    <r>
      <rPr>
        <b val="true"/>
        <sz val="10"/>
        <color rgb="FFFFFFFF"/>
        <rFont val="WenQuanYi Zen Hei"/>
        <family val="2"/>
      </rPr>
      <t xml:space="preserve">前一日欠數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</si>
  <si>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狀態</t>
  </si>
  <si>
    <t xml:space="preserve">檢查</t>
  </si>
  <si>
    <t xml:space="preserve">索引</t>
  </si>
  <si>
    <t xml:space="preserve">工人數</t>
  </si>
  <si>
    <r>
      <rPr>
        <b val="true"/>
        <sz val="10"/>
        <color rgb="FFFFFFFF"/>
        <rFont val="WenQuanYi Zen Hei"/>
        <family val="2"/>
      </rPr>
      <t xml:space="preserve">不良數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</si>
  <si>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未達原因</t>
  </si>
  <si>
    <t xml:space="preserve">停機分鐘</t>
  </si>
  <si>
    <t xml:space="preserve">人均每小時產量</t>
  </si>
  <si>
    <r>
      <rPr>
        <b val="true"/>
        <sz val="10"/>
        <color rgb="FFFFFFFF"/>
        <rFont val="WenQuanYi Zen Hei"/>
        <family val="2"/>
      </rPr>
      <t xml:space="preserve">不良率</t>
    </r>
    <r>
      <rPr>
        <b val="true"/>
        <sz val="10"/>
        <color rgb="FFFFFFFF"/>
        <rFont val="Calibri"/>
        <family val="0"/>
        <charset val="1"/>
      </rPr>
      <t xml:space="preserve">%</t>
    </r>
  </si>
  <si>
    <t xml:space="preserve">CHUYỀN</t>
  </si>
  <si>
    <t xml:space="preserve">MỤC TIÊU MỖI GIỜ</t>
  </si>
  <si>
    <t xml:space="preserve">GIỜ CA</t>
  </si>
  <si>
    <t xml:space="preserve">MỤC TIÊU TRONG NGÀY</t>
  </si>
  <si>
    <t xml:space="preserve">GIỜ 1</t>
  </si>
  <si>
    <t xml:space="preserve">GIỜ 2</t>
  </si>
  <si>
    <t xml:space="preserve">GIỜ 3</t>
  </si>
  <si>
    <t xml:space="preserve">GIỜ 4</t>
  </si>
  <si>
    <t xml:space="preserve">GIỜ 5</t>
  </si>
  <si>
    <t xml:space="preserve">GIỜ 6</t>
  </si>
  <si>
    <t xml:space="preserve">GIỜ 7</t>
  </si>
  <si>
    <t xml:space="preserve">GIỜ 8</t>
  </si>
  <si>
    <t xml:space="preserve">GIỜ 9</t>
  </si>
  <si>
    <t xml:space="preserve">GIỜ 10</t>
  </si>
  <si>
    <t xml:space="preserve">GIỜ 11</t>
  </si>
  <si>
    <t xml:space="preserve">GIỜ 12</t>
  </si>
  <si>
    <t xml:space="preserve">THỰC TẾ TRONG NGÀY</t>
  </si>
  <si>
    <t xml:space="preserve">TỶ LỆ ĐẠT TRONG NGÀY</t>
  </si>
  <si>
    <t xml:space="preserve">CHÊNH LỆCH</t>
  </si>
  <si>
    <t xml:space="preserve">CÒN THIẾU</t>
  </si>
  <si>
    <t xml:space="preserve">SỐ GIỜ ĐÃ NHẬP</t>
  </si>
  <si>
    <t xml:space="preserve">MỤC TIÊU ĐẾN GIỜ ĐÃ NHẬP</t>
  </si>
  <si>
    <t xml:space="preserve">TIẾN ĐỘ THEO GIỜ</t>
  </si>
  <si>
    <t xml:space="preserve">NGÀY LÀM TRƯỚC</t>
  </si>
  <si>
    <t xml:space="preserve">THIẾU HÔM TRƯỚC</t>
  </si>
  <si>
    <t xml:space="preserve">KIỂM TRA</t>
  </si>
  <si>
    <t xml:space="preserve">KHÓA (máy dùng)</t>
  </si>
  <si>
    <t xml:space="preserve">SỐ CÔNG NHÂN</t>
  </si>
  <si>
    <t xml:space="preserve">SỐ LỖI</t>
  </si>
  <si>
    <t xml:space="preserve">PHÚT DỪNG MÁY</t>
  </si>
  <si>
    <t xml:space="preserve">SP / NGƯỜI / GIỜ</t>
  </si>
  <si>
    <t xml:space="preserve">TỶ LỆ LỖI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</si>
  <si>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</si>
  <si>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</si>
  <si>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</si>
  <si>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</si>
  <si>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</si>
  <si>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</si>
  <si>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</si>
  <si>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</si>
  <si>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</si>
  <si>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</si>
  <si>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</si>
  <si>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</si>
  <si>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</si>
  <si>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</si>
  <si>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</si>
  <si>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</si>
  <si>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</si>
  <si>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</si>
  <si>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</si>
  <si>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</si>
  <si>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</si>
  <si>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</si>
  <si>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</si>
  <si>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</si>
  <si>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</si>
  <si>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</si>
  <si>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</si>
  <si>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</si>
  <si>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Đang chạy</t>
  </si>
  <si>
    <r>
      <rPr>
        <b val="true"/>
        <sz val="14"/>
        <color rgb="FFFFFFFF"/>
        <rFont val="WenQuanYi Zen Hei"/>
        <family val="2"/>
      </rPr>
      <t xml:space="preserve">當月目標與累計 </t>
    </r>
    <r>
      <rPr>
        <b val="true"/>
        <sz val="14"/>
        <color rgb="FFFFFFFF"/>
        <rFont val="Calibri"/>
        <family val="0"/>
        <charset val="1"/>
      </rPr>
      <t xml:space="preserve">/ MỤC TIÊU &amp; LŨY KẾ THÁNG</t>
    </r>
  </si>
  <si>
    <t xml:space="preserve">月份</t>
  </si>
  <si>
    <r>
      <rPr>
        <b val="true"/>
        <sz val="10"/>
        <color rgb="FFFFFFFF"/>
        <rFont val="WenQuanYi Zen Hei"/>
        <family val="2"/>
      </rPr>
      <t xml:space="preserve">当月总目标产量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</si>
  <si>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当月累计产能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</si>
  <si>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当月累计差异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</si>
  <si>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当月总达成率</t>
  </si>
  <si>
    <r>
      <rPr>
        <b val="true"/>
        <sz val="10"/>
        <color rgb="FFFFFFFF"/>
        <rFont val="WenQuanYi Zen Hei"/>
        <family val="2"/>
      </rPr>
      <t xml:space="preserve">累計每日目標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</si>
  <si>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與每日目標差異</t>
    </r>
    <r>
      <rPr>
        <b val="true"/>
        <sz val="10"/>
        <color rgb="FFFFFFFF"/>
        <rFont val="Calibri"/>
        <family val="0"/>
        <charset val="1"/>
      </rPr>
      <t xml:space="preserve">PCS</t>
    </r>
  </si>
  <si>
    <r>
      <rPr>
        <b val="true"/>
        <sz val="10"/>
        <color rgb="FFFFFFFF"/>
        <rFont val="WenQuanYi Zen Hei"/>
        <family val="2"/>
      </rPr>
      <t xml:space="preserve">上月欠數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</si>
  <si>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當月工作天數</t>
  </si>
  <si>
    <r>
      <rPr>
        <b val="true"/>
        <sz val="10"/>
        <color rgb="FFFFFFFF"/>
        <rFont val="WenQuanYi Zen Hei"/>
        <family val="2"/>
      </rPr>
      <t xml:space="preserve">平均每日需產量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</si>
  <si>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THÁNG</t>
  </si>
  <si>
    <t xml:space="preserve">TỔNG SẢN LƯỢNG MỤC TIÊU TRONG THÁNG</t>
  </si>
  <si>
    <t xml:space="preserve">LŨY KẾ SẢN LƯỢNG TRONG THÁNG</t>
  </si>
  <si>
    <t xml:space="preserve">LŨY KẾ CHÊNH LỆCH TRONG THÁNG</t>
  </si>
  <si>
    <t xml:space="preserve">TỔNG ĐẠT % TRONG THÁNG</t>
  </si>
  <si>
    <t xml:space="preserve">CÒN THIẾU TRONG THÁNG</t>
  </si>
  <si>
    <t xml:space="preserve">LŨY KẾ MỤC TIÊU NGÀY (các ngày đã nhập)</t>
  </si>
  <si>
    <t xml:space="preserve">CHÊNH LỆCH SO VỚI MỤC TIÊU NGÀY</t>
  </si>
  <si>
    <t xml:space="preserve">THIẾU THÁNG TRƯỚC</t>
  </si>
  <si>
    <t xml:space="preserve">SỐ NGÀY LÀM VIỆC TRONG THÁNG</t>
  </si>
  <si>
    <t xml:space="preserve">BÌNH QUÂN CẦN / NGÀY</t>
  </si>
  <si>
    <r>
      <rPr>
        <b val="true"/>
        <sz val="14"/>
        <color rgb="FFFFFFFF"/>
        <rFont val="WenQuanYi Zen Hei"/>
        <family val="2"/>
      </rPr>
      <t xml:space="preserve">電視顯示 </t>
    </r>
    <r>
      <rPr>
        <b val="true"/>
        <sz val="14"/>
        <color rgb="FFFFFFFF"/>
        <rFont val="Calibri"/>
        <family val="0"/>
        <charset val="1"/>
      </rPr>
      <t xml:space="preserve">/ BẢNG HIỂN THỊ TV</t>
    </r>
  </si>
  <si>
    <t xml:space="preserve">CHỌN NGÀY (để trống = ngày mới nhất):</t>
  </si>
  <si>
    <t xml:space="preserve">ĐANG HIỂN THỊ:</t>
  </si>
  <si>
    <r>
      <rPr>
        <b val="true"/>
        <sz val="10"/>
        <color rgb="FFFFFFFF"/>
        <rFont val="WenQuanYi Zen Hei"/>
        <family val="2"/>
      </rPr>
      <t xml:space="preserve">本線當月累計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</si>
  <si>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前一日索引</t>
  </si>
  <si>
    <t xml:space="preserve">剩餘工作天數</t>
  </si>
  <si>
    <r>
      <rPr>
        <b val="true"/>
        <sz val="10"/>
        <color rgb="FFFFFFFF"/>
        <rFont val="WenQuanYi Zen Hei"/>
        <family val="2"/>
      </rPr>
      <t xml:space="preserve">每日需產量</t>
    </r>
    <r>
      <rPr>
        <b val="true"/>
        <sz val="10"/>
        <color rgb="FFFFFFFF"/>
        <rFont val="Calibri"/>
        <family val="0"/>
        <charset val="1"/>
      </rPr>
      <t xml:space="preserve">PCS</t>
    </r>
  </si>
  <si>
    <t xml:space="preserve">MỤC TIÊU THÁNG (SẢN PHẨM)</t>
  </si>
  <si>
    <t xml:space="preserve">LŨY KẾ THÁNG (SẢN PHẨM, đến ngày này)</t>
  </si>
  <si>
    <t xml:space="preserve">TỶ LỆ ĐẠT THÁNG</t>
  </si>
  <si>
    <t xml:space="preserve">CÒN THIẾU THÁNG</t>
  </si>
  <si>
    <t xml:space="preserve">LŨY KẾ THÁNG CỦA CHUYỀN</t>
  </si>
  <si>
    <t xml:space="preserve">DÒNG NHẬP LIỆU (máy dùng)</t>
  </si>
  <si>
    <t xml:space="preserve">DÒNG NGÀY TRƯỚC (máy dùng)</t>
  </si>
  <si>
    <t xml:space="preserve">THIẾU THÁNG TRƯỚC (SẢN PHẨM)</t>
  </si>
  <si>
    <t xml:space="preserve">NGÀY LÀM VIỆC CÒN LẠI (tính cả ngày này)</t>
  </si>
  <si>
    <t xml:space="preserve">CẦN LÀM MỖI NGÀY ĐỂ KỊP THÁNG (SẢN PHẨM)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</si>
  <si>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</si>
  <si>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</si>
  <si>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</si>
  <si>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</si>
  <si>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</si>
  <si>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</si>
  <si>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</si>
  <si>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</si>
  <si>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TỔNG CỘNG</t>
  </si>
  <si>
    <r>
      <rPr>
        <b val="true"/>
        <sz val="14"/>
        <color rgb="FFFFFFFF"/>
        <rFont val="WenQuanYi Zen Hei"/>
        <family val="2"/>
      </rPr>
      <t xml:space="preserve">月度報告 </t>
    </r>
    <r>
      <rPr>
        <b val="true"/>
        <sz val="14"/>
        <color rgb="FFFFFFFF"/>
        <rFont val="Calibri"/>
        <family val="0"/>
        <charset val="1"/>
      </rPr>
      <t xml:space="preserve">/ BÁO CÁO THÁNG THEO CHUYỀN</t>
    </r>
  </si>
  <si>
    <t xml:space="preserve">CHỌN THÁNG (trống = tháng mới nhất):</t>
  </si>
  <si>
    <t xml:space="preserve">ĐANG XEM:</t>
  </si>
  <si>
    <t xml:space="preserve">1. SẢN LƯỢNG THỰC TẾ THEO NGÀY</t>
  </si>
  <si>
    <t xml:space="preserve">TỔNG THÁNG</t>
  </si>
  <si>
    <t xml:space="preserve">MỤC TIÊU (ngày đã làm)</t>
  </si>
  <si>
    <t xml:space="preserve">% ĐẠT</t>
  </si>
  <si>
    <t xml:space="preserve">TỔNG</t>
  </si>
  <si>
    <t xml:space="preserve">MỤC TIÊU NGÀY</t>
  </si>
  <si>
    <t xml:space="preserve">2. % ĐẠT MỤC TIÊU NGÀY</t>
  </si>
  <si>
    <t xml:space="preserve">3. LÝ DO KHÔNG ĐẠT TRONG THÁNG</t>
  </si>
  <si>
    <t xml:space="preserve">LÝ DO</t>
  </si>
  <si>
    <t xml:space="preserve">SỐ LẦN</t>
  </si>
  <si>
    <t xml:space="preserve">SẢN LƯỢNG THIẾU</t>
  </si>
  <si>
    <t xml:space="preserve">4. NĂNG SUẤT &amp; HÀNG LỖI THEO CHUYỀN</t>
  </si>
  <si>
    <t xml:space="preserve">TỔNG SẢN LƯỢNG</t>
  </si>
  <si>
    <t xml:space="preserve">CÔNG-GIỜ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</si>
</sst>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@"/>
    <numFmt numFmtId="166" formatCode="0.0#"/>
    <numFmt numFmtId="167" formatCode="hh:mm"/>
    <numFmt numFmtId="168" formatCode="dd/mm/yyyy"/>
    <numFmt numFmtId="169" formatCode="yyyy\-mm\-dd\ h:mm:ss"/>
    <numFmt numFmtId="170" formatCode="#,##0"/>
    <numFmt numFmtId="171" formatCode="0.0%"/>
    <numFmt numFmtId="172" formatCode="#,##0;[RED]\-#,##0"/>
    <numFmt numFmtId="173" formatCode="0"/>
    <numFmt numFmtId="174" formatCode="dd/mm/yyyy;;;"/>
    <numFmt numFmtId="175" formatCode="0.0"/>
    <numFmt numFmtId="176" formatCode="0.00%"/>
    <numFmt numFmtId="177" formatCode="mm/yyyy"/>
    <numFmt numFmtId="178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4"/>
      <color rgb="FFFFFFFF"/>
      <name val="WenQuanYi Zen Hei"/>
      <family val="2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344767"/>
      <name val="Calibri"/>
      <family val="0"/>
      <charset val="1"/>
    </font>
    <font>
      <b val="true"/>
      <sz val="9"/>
      <color rgb="FF344767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E699"/>
        <bgColor rgb="FFF8CBAD"/>
      </patternFill>
    </fill>
    <fill>
      <patternFill patternType="solid">
        <fgColor rgb="FFD9EAF7"/>
        <bgColor rgb="FFEAF3F8"/>
      </patternFill>
    </fill>
    <fill>
      <patternFill patternType="solid">
        <fgColor rgb="FF1F4E78"/>
        <bgColor rgb="FF344767"/>
      </patternFill>
    </fill>
    <fill>
      <patternFill patternType="solid">
        <fgColor rgb="FF5B9BD5"/>
        <bgColor rgb="FF4F81BD"/>
      </patternFill>
    </fill>
    <fill>
      <patternFill patternType="solid">
        <fgColor rgb="FFEAF3F8"/>
        <bgColor rgb="FFF2F2F2"/>
      </patternFill>
    </fill>
    <fill>
      <patternFill patternType="solid">
        <fgColor rgb="FFFFF9E6"/>
        <bgColor rgb="FFFFFFFF"/>
      </patternFill>
    </fill>
    <fill>
      <patternFill patternType="solid">
        <fgColor rgb="FFF2F2F2"/>
        <bgColor rgb="FFEA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7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EA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4476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7A3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ont>
        <b val="1"/>
        <color rgb="FF9C0006"/>
      </font>
      <fill>
        <patternFill>
          <bgColor rgb="FFFF7C80"/>
        </patternFill>
      </fill>
    </dxf>
    <dxf>
      <font>
        <b val="1"/>
        <color rgb="FFC00000"/>
      </font>
    </dxf>
    <dxf>
      <font>
        <b val="1"/>
        <color rgb="FF007A33"/>
      </font>
    </dxf>
    <dxf>
      <fill>
        <patternFill patternType="solid">
          <fgColor rgb="FFFF0000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7A33"/>
      <rgbColor rgb="FF000080"/>
      <rgbColor rgb="FF808000"/>
      <rgbColor rgb="FF800080"/>
      <rgbColor rgb="FF008080"/>
      <rgbColor rgb="FFBFBFBF"/>
      <rgbColor rgb="FF878787"/>
      <rgbColor rgb="FF5B9BD5"/>
      <rgbColor rgb="FFBE4B48"/>
      <rgbColor rgb="FFFFF9E6"/>
      <rgbColor rgb="FFD9EAF7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C6EFCE"/>
      <rgbColor rgb="FFFFE699"/>
      <rgbColor rgb="FFF2F2F2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4E78"/>
      <rgbColor rgb="FF339966"/>
      <rgbColor rgb="FF003300"/>
      <rgbColor rgb="FF333300"/>
      <rgbColor rgb="FF993300"/>
      <rgbColor rgb="FF993366"/>
      <rgbColor rgb="FF3447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Sản lượng thực tế và mục tiêu theo ngày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BAO_CAO_THANG!A12</c:f>
              <c:strCache>
                <c:ptCount val="1"/>
                <c:pt idx="0">
                  <c:v>TỔNG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BAO_CAO_THANG!$B$5:$AF$5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BAO_CAO_THANG!$B$12:$AF$12</c:f>
              <c:numCache>
                <c:formatCode>#,##0</c:formatCode>
                <c:ptCount val="31"/>
                <c:pt idx="0">
                  <c:v>4035</c:v>
                </c:pt>
                <c:pt idx="1">
                  <c:v>440</c:v>
                </c:pt>
              </c:numCache>
            </c:numRef>
          </c:val>
        </c:ser>
        <c:gapWidth val="150"/>
        <c:overlap val="0"/>
        <c:axId val="44149838"/>
        <c:axId val="65459999"/>
      </c:barChart>
      <c:lineChart>
        <c:grouping val="standard"/>
        <c:varyColors val="0"/>
        <c:ser>
          <c:idx val="1"/>
          <c:order val="1"/>
          <c:tx>
            <c:strRef>
              <c:f>BAO_CAO_THANG!A13</c:f>
              <c:strCache>
                <c:ptCount val="1"/>
                <c:pt idx="0">
                  <c:v>MỤC TIÊU NGÀY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BAO_CAO_THANG!$B$5:$AF$5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BAO_CAO_THANG!$B$13:$AF$13</c:f>
              <c:numCache>
                <c:formatCode>#,##0</c:formatCode>
                <c:ptCount val="31"/>
                <c:pt idx="0">
                  <c:v>4328</c:v>
                </c:pt>
                <c:pt idx="1">
                  <c:v>1800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149838"/>
        <c:axId val="65459999"/>
      </c:lineChart>
      <c:catAx>
        <c:axId val="441498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Ngày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59999"/>
        <c:crosses val="autoZero"/>
        <c:auto val="1"/>
        <c:lblAlgn val="ctr"/>
        <c:lblOffset val="100"/>
        <c:noMultiLvlLbl val="0"/>
      </c:catAx>
      <c:valAx>
        <c:axId val="65459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PCS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49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0</xdr:rowOff>
    </xdr:from>
    <xdr:to>
      <xdr:col>17</xdr:col>
      <xdr:colOff>131760</xdr:colOff>
      <xdr:row>61</xdr:row>
      <xdr:rowOff>1080</xdr:rowOff>
    </xdr:to>
    <xdr:graphicFrame>
      <xdr:nvGraphicFramePr>
        <xdr:cNvPr id="0" name="Chart 1"/>
        <xdr:cNvGraphicFramePr/>
      </xdr:nvGraphicFramePr>
      <xdr:xfrm>
        <a:off x="0" y="873432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uHinhCa" displayName="tblCauHinhCa" ref="A4:J8" headerRowCount="1" totalsRowCount="0" totalsRowShown="0">
  <autoFilter ref="A4:J8"/>
  <tableColumns count="10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</tableColumns>
</table>
</file>

<file path=xl/tables/table2.xml><?xml version="1.0" encoding="utf-8"?>
<table xmlns="http://schemas.openxmlformats.org/spreadsheetml/2006/main" id="2" name="tblDanhSachChuyen" displayName="tblDanhSachChuyen" ref="A4:D10" headerRowCount="1" totalsRowCount="0" totalsRowShown="0">
  <autoFilter ref="A4:D10"/>
  <tableColumns count="4">
    <tableColumn id="1" name="1"/>
    <tableColumn id="2" name="2"/>
    <tableColumn id="3" name="3"/>
    <tableColumn id="4" name="4"/>
  </tableColumns>
</table>
</file>

<file path=xl/tables/table3.xml><?xml version="1.0" encoding="utf-8"?>
<table xmlns="http://schemas.openxmlformats.org/spreadsheetml/2006/main" id="3" name="tblDanhSachLyDo" displayName="tblDanhSachLyDo" ref="A4:B10" headerRowCount="1" totalsRowCount="0" totalsRowShown="0">
  <autoFilter ref="A4:B10"/>
  <tableColumns count="2">
    <tableColumn id="1" name="1"/>
    <tableColumn id="2" name="2"/>
  </tableColumns>
</table>
</file>

<file path=xl/tables/table4.xml><?xml version="1.0" encoding="utf-8"?>
<table xmlns="http://schemas.openxmlformats.org/spreadsheetml/2006/main" id="4" name="tblDanhSachSanPham" displayName="tblDanhSachSanPham" ref="A4:D9" headerRowCount="1" totalsRowCount="0" totalsRowShown="0">
  <autoFilter ref="A4:D9"/>
  <tableColumns count="4">
    <tableColumn id="1" name="1"/>
    <tableColumn id="2" name="2"/>
    <tableColumn id="3" name="3"/>
    <tableColumn id="4" name="4"/>
  </tableColumns>
</table>
</file>

<file path=xl/tables/table5.xml><?xml version="1.0" encoding="utf-8"?>
<table xmlns="http://schemas.openxmlformats.org/spreadsheetml/2006/main" id="5" name="tblHienThi" displayName="tblHienThi" ref="A4:AT10" headerRowCount="1" totalsRowCount="0" totalsRowShown="0">
  <autoFilter ref="A4:AT10"/>
  <tableColumns count="46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/>
    <tableColumn id="23" name="23"/>
    <tableColumn id="24" name="24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  <tableColumn id="33" name="33"/>
    <tableColumn id="34" name="34"/>
    <tableColumn id="35" name="35"/>
    <tableColumn id="36" name="36"/>
    <tableColumn id="37" name="37"/>
    <tableColumn id="38" name="38"/>
    <tableColumn id="39" name="39"/>
    <tableColumn id="40" name="40"/>
    <tableColumn id="41" name="41"/>
    <tableColumn id="42" name="42"/>
    <tableColumn id="43" name="43"/>
    <tableColumn id="44" name="44"/>
    <tableColumn id="45" name="45"/>
    <tableColumn id="46" name="46"/>
  </tableColumns>
</table>
</file>

<file path=xl/tables/table6.xml><?xml version="1.0" encoding="utf-8"?>
<table xmlns="http://schemas.openxmlformats.org/spreadsheetml/2006/main" id="6" name="tblLichLamViec" displayName="tblLichLamViec" ref="A4:D7" headerRowCount="1" totalsRowCount="0" totalsRowShown="0">
  <autoFilter ref="A4:D7"/>
  <tableColumns count="4">
    <tableColumn id="1" name="1"/>
    <tableColumn id="2" name="2"/>
    <tableColumn id="3" name="3"/>
    <tableColumn id="4" name="4"/>
  </tableColumns>
</table>
</file>

<file path=xl/tables/table7.xml><?xml version="1.0" encoding="utf-8"?>
<table xmlns="http://schemas.openxmlformats.org/spreadsheetml/2006/main" id="7" name="tblMucTieuThang" displayName="tblMucTieuThang" ref="A4:M11" headerRowCount="1" totalsRowCount="0" totalsRowShown="0">
  <autoFilter ref="A4:M11"/>
  <tableColumns count="13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</tableColumns>
</table>
</file>

<file path=xl/tables/table8.xml><?xml version="1.0" encoding="utf-8"?>
<table xmlns="http://schemas.openxmlformats.org/spreadsheetml/2006/main" id="8" name="tblNhapLieu" displayName="tblNhapLieu" ref="A4:AL17" headerRowCount="1" totalsRowCount="0" totalsRowShown="0">
  <autoFilter ref="A4:AL17"/>
  <tableColumns count="38">
    <tableColumn id="1" name="1"/>
    <tableColumn id="2" name="2"/>
    <tableColumn id="3" name="3"/>
    <tableColumn id="4" name="4"/>
    <tableColumn id="5" name="5"/>
    <tableColumn id="6" name="6"/>
    <tableColumn id="7" name="7"/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/>
    <tableColumn id="21" name="21"/>
    <tableColumn id="22" name="22"/>
    <tableColumn id="23" name="23"/>
    <tableColumn id="24" name="24"/>
    <tableColumn id="25" name="25"/>
    <tableColumn id="26" name="26"/>
    <tableColumn id="27" name="27"/>
    <tableColumn id="28" name="28"/>
    <tableColumn id="29" name="29"/>
    <tableColumn id="30" name="30"/>
    <tableColumn id="31" name="31"/>
    <tableColumn id="32" name="32"/>
    <tableColumn id="33" name="33"/>
    <tableColumn id="34" name="34"/>
    <tableColumn id="35" name="35"/>
    <tableColumn id="36" name="36"/>
    <tableColumn id="37" name="37"/>
    <tableColumn id="38" name="38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29.85" hidden="false" customHeight="false" outlineLevel="0" collapsed="false">
      <c r="B3" s="2" t="s">
        <v>2</v>
      </c>
    </row>
    <row r="4" customFormat="false" ht="15" hidden="false" customHeight="false" outlineLevel="0" collapsed="false">
      <c r="B4" s="2" t="s">
        <v>3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2" t="s">
        <v>5</v>
      </c>
    </row>
    <row r="8" customFormat="false" ht="29.8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1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16</v>
      </c>
    </row>
    <row r="22" customFormat="false" ht="29.85" hidden="false" customHeight="false" outlineLevel="0" collapsed="false">
      <c r="B22" s="2" t="s">
        <v>17</v>
      </c>
    </row>
    <row r="23" customFormat="false" ht="29.8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3" t="s">
        <v>20</v>
      </c>
    </row>
    <row r="27" customFormat="false" ht="29.85" hidden="false" customHeight="false" outlineLevel="0" collapsed="false">
      <c r="B27" s="2" t="s">
        <v>21</v>
      </c>
    </row>
    <row r="28" customFormat="false" ht="29.85" hidden="false" customHeight="false" outlineLevel="0" collapsed="false">
      <c r="B28" s="2" t="s">
        <v>22</v>
      </c>
    </row>
    <row r="29" customFormat="false" ht="29.85" hidden="false" customHeight="false" outlineLevel="0" collapsed="false">
      <c r="B29" s="2" t="s">
        <v>23</v>
      </c>
    </row>
    <row r="30" customFormat="false" ht="29.85" hidden="false" customHeight="false" outlineLevel="0" collapsed="false">
      <c r="B30" s="2" t="s">
        <v>24</v>
      </c>
    </row>
    <row r="31" customFormat="false" ht="29.85" hidden="false" customHeight="false" outlineLevel="0" collapsed="false">
      <c r="B31" s="2" t="s">
        <v>25</v>
      </c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3" t="s">
        <v>26</v>
      </c>
    </row>
    <row r="34" customFormat="false" ht="15" hidden="false" customHeight="false" outlineLevel="0" collapsed="false">
      <c r="B34" s="2" t="s">
        <v>27</v>
      </c>
    </row>
    <row r="38" customFormat="false" ht="15" hidden="false" customHeight="false" outlineLevel="0" collapsed="false">
      <c r="B38" s="4" t="s">
        <v>28</v>
      </c>
    </row>
    <row r="39" customFormat="false" ht="15" hidden="false" customHeight="false" outlineLevel="0" collapsed="false">
      <c r="B3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6" t="s">
        <v>30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</row>
    <row r="3" customFormat="false" ht="37.5" hidden="false" customHeight="true" outlineLevel="0" collapsed="false">
      <c r="A3" s="8" t="s">
        <v>41</v>
      </c>
      <c r="B3" s="8" t="s">
        <v>42</v>
      </c>
      <c r="C3" s="9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</row>
    <row r="4" customFormat="false" ht="15" hidden="false" customHeight="false" outlineLevel="0" collapsed="false">
      <c r="A4" s="10" t="s">
        <v>51</v>
      </c>
      <c r="B4" s="10" t="s">
        <v>52</v>
      </c>
      <c r="C4" s="10" t="s">
        <v>53</v>
      </c>
      <c r="D4" s="10" t="s">
        <v>54</v>
      </c>
      <c r="E4" s="10" t="s">
        <v>55</v>
      </c>
      <c r="F4" s="10" t="s">
        <v>56</v>
      </c>
      <c r="G4" s="10" t="s">
        <v>57</v>
      </c>
      <c r="H4" s="10" t="s">
        <v>58</v>
      </c>
      <c r="I4" s="10" t="s">
        <v>59</v>
      </c>
      <c r="J4" s="10" t="s">
        <v>60</v>
      </c>
    </row>
    <row r="5" customFormat="false" ht="15" hidden="false" customHeight="false" outlineLevel="0" collapsed="false">
      <c r="A5" s="11" t="s">
        <v>61</v>
      </c>
      <c r="B5" s="12" t="s">
        <v>62</v>
      </c>
      <c r="C5" s="13" t="n">
        <f aca="false">IF(A5="","",ROUND(((E5-D5)+(G5-F5)+(I5-H5))*24,2))</f>
        <v>8</v>
      </c>
      <c r="D5" s="14" t="n">
        <v>0.3125</v>
      </c>
      <c r="E5" s="14" t="n">
        <v>0.479166666666667</v>
      </c>
      <c r="F5" s="14" t="n">
        <v>0.520833333333333</v>
      </c>
      <c r="G5" s="14" t="n">
        <v>0.6875</v>
      </c>
      <c r="H5" s="14"/>
      <c r="I5" s="14"/>
      <c r="J5" s="12" t="s">
        <v>63</v>
      </c>
    </row>
    <row r="6" customFormat="false" ht="15" hidden="false" customHeight="false" outlineLevel="0" collapsed="false">
      <c r="A6" s="11" t="s">
        <v>64</v>
      </c>
      <c r="B6" s="12" t="s">
        <v>65</v>
      </c>
      <c r="C6" s="13" t="n">
        <f aca="false">IF(A6="","",ROUND(((E6-D6)+(G6-F6)+(I6-H6))*24,2))</f>
        <v>9</v>
      </c>
      <c r="D6" s="14" t="n">
        <v>0.3125</v>
      </c>
      <c r="E6" s="14" t="n">
        <v>0.479166666666667</v>
      </c>
      <c r="F6" s="14" t="n">
        <v>0.520833333333333</v>
      </c>
      <c r="G6" s="14" t="n">
        <v>0.729166666666667</v>
      </c>
      <c r="H6" s="14"/>
      <c r="I6" s="14"/>
      <c r="J6" s="12" t="s">
        <v>63</v>
      </c>
    </row>
    <row r="7" customFormat="false" ht="15" hidden="false" customHeight="false" outlineLevel="0" collapsed="false">
      <c r="A7" s="11" t="s">
        <v>66</v>
      </c>
      <c r="B7" s="12" t="s">
        <v>67</v>
      </c>
      <c r="C7" s="13" t="n">
        <f aca="false">IF(A7="","",ROUND(((E7-D7)+(G7-F7)+(I7-H7))*24,2))</f>
        <v>10</v>
      </c>
      <c r="D7" s="14" t="n">
        <v>0.3125</v>
      </c>
      <c r="E7" s="14" t="n">
        <v>0.479166666666667</v>
      </c>
      <c r="F7" s="14" t="n">
        <v>0.520833333333333</v>
      </c>
      <c r="G7" s="14" t="n">
        <v>0.770833333333333</v>
      </c>
      <c r="H7" s="14"/>
      <c r="I7" s="14"/>
      <c r="J7" s="12" t="s">
        <v>63</v>
      </c>
    </row>
    <row r="8" customFormat="false" ht="15" hidden="false" customHeight="false" outlineLevel="0" collapsed="false">
      <c r="A8" s="11" t="s">
        <v>68</v>
      </c>
      <c r="B8" s="12" t="s">
        <v>69</v>
      </c>
      <c r="C8" s="13" t="n">
        <f aca="false">IF(A8="","",ROUND(((E8-D8)+(G8-F8)+(I8-H8))*24,2))</f>
        <v>11.5</v>
      </c>
      <c r="D8" s="14" t="n">
        <v>0.3125</v>
      </c>
      <c r="E8" s="14" t="n">
        <v>0.479166666666667</v>
      </c>
      <c r="F8" s="14" t="n">
        <v>0.520833333333333</v>
      </c>
      <c r="G8" s="14" t="n">
        <v>0.6875</v>
      </c>
      <c r="H8" s="14" t="n">
        <v>0.708333333333333</v>
      </c>
      <c r="I8" s="14" t="n">
        <v>0.854166666666667</v>
      </c>
      <c r="J8" s="12" t="s">
        <v>63</v>
      </c>
    </row>
  </sheetData>
  <mergeCells count="1">
    <mergeCell ref="A1:H1"/>
  </mergeCells>
  <dataValidations count="1">
    <dataValidation allowBlank="true" error="Chọn giá trị trong danh sách." errorStyle="stop" errorTitle="Sai dữ liệu" operator="between" showDropDown="false" showErrorMessage="true" showInputMessage="false" sqref="J5:J8" type="list">
      <formula1>"Đang sử dụng,Ngừng sử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6" t="s">
        <v>70</v>
      </c>
      <c r="B1" s="6"/>
      <c r="C1" s="6"/>
      <c r="D1" s="6"/>
    </row>
    <row r="2" customFormat="false" ht="27.75" hidden="false" customHeight="true" outlineLevel="0" collapsed="false">
      <c r="A2" s="7" t="s">
        <v>71</v>
      </c>
      <c r="B2" s="7" t="s">
        <v>72</v>
      </c>
      <c r="C2" s="7" t="s">
        <v>73</v>
      </c>
      <c r="D2" s="7" t="s">
        <v>40</v>
      </c>
    </row>
    <row r="3" customFormat="false" ht="37.5" hidden="false" customHeight="true" outlineLevel="0" collapsed="false">
      <c r="A3" s="8" t="s">
        <v>74</v>
      </c>
      <c r="B3" s="8" t="s">
        <v>75</v>
      </c>
      <c r="C3" s="8" t="s">
        <v>76</v>
      </c>
      <c r="D3" s="8" t="s">
        <v>50</v>
      </c>
    </row>
    <row r="4" customFormat="false" ht="15" hidden="false" customHeight="false" outlineLevel="0" collapsed="false">
      <c r="A4" s="10" t="s">
        <v>51</v>
      </c>
      <c r="B4" s="10" t="s">
        <v>52</v>
      </c>
      <c r="C4" s="10" t="s">
        <v>53</v>
      </c>
      <c r="D4" s="10" t="s">
        <v>54</v>
      </c>
    </row>
    <row r="5" customFormat="false" ht="15" hidden="false" customHeight="false" outlineLevel="0" collapsed="false">
      <c r="A5" s="11" t="s">
        <v>77</v>
      </c>
      <c r="B5" s="12" t="s">
        <v>78</v>
      </c>
      <c r="C5" s="12"/>
      <c r="D5" s="12" t="s">
        <v>63</v>
      </c>
    </row>
    <row r="6" customFormat="false" ht="15" hidden="false" customHeight="false" outlineLevel="0" collapsed="false">
      <c r="A6" s="11" t="s">
        <v>79</v>
      </c>
      <c r="B6" s="12" t="s">
        <v>80</v>
      </c>
      <c r="C6" s="12"/>
      <c r="D6" s="12" t="s">
        <v>63</v>
      </c>
    </row>
    <row r="7" customFormat="false" ht="15" hidden="false" customHeight="false" outlineLevel="0" collapsed="false">
      <c r="A7" s="11" t="s">
        <v>81</v>
      </c>
      <c r="B7" s="12" t="s">
        <v>82</v>
      </c>
      <c r="C7" s="12"/>
      <c r="D7" s="12" t="s">
        <v>63</v>
      </c>
    </row>
    <row r="8" customFormat="false" ht="15" hidden="false" customHeight="false" outlineLevel="0" collapsed="false">
      <c r="A8" s="11" t="s">
        <v>83</v>
      </c>
      <c r="B8" s="12" t="s">
        <v>84</v>
      </c>
      <c r="C8" s="12"/>
      <c r="D8" s="12" t="s">
        <v>63</v>
      </c>
    </row>
    <row r="9" customFormat="false" ht="15" hidden="false" customHeight="false" outlineLevel="0" collapsed="false">
      <c r="A9" s="11" t="s">
        <v>85</v>
      </c>
      <c r="B9" s="12" t="s">
        <v>86</v>
      </c>
      <c r="C9" s="12"/>
      <c r="D9" s="12" t="s">
        <v>63</v>
      </c>
    </row>
    <row r="10" customFormat="false" ht="15" hidden="false" customHeight="false" outlineLevel="0" collapsed="false">
      <c r="A10" s="11" t="s">
        <v>87</v>
      </c>
      <c r="B10" s="12" t="s">
        <v>88</v>
      </c>
      <c r="C10" s="12"/>
      <c r="D10" s="12" t="s">
        <v>63</v>
      </c>
    </row>
  </sheetData>
  <mergeCells count="1">
    <mergeCell ref="A1:D1"/>
  </mergeCells>
  <dataValidations count="1">
    <dataValidation allowBlank="true" error="Chọn giá trị trong danh sách." errorStyle="stop" errorTitle="Sai dữ liệu" operator="between" showDropDown="false" showErrorMessage="true" showInputMessage="false" sqref="D5:D10" type="list">
      <formula1>"Đang sử dụng,Ngừng sử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8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6" t="s">
        <v>89</v>
      </c>
      <c r="B1" s="6"/>
      <c r="C1" s="6"/>
      <c r="D1" s="6"/>
    </row>
    <row r="2" customFormat="false" ht="27.75" hidden="false" customHeight="true" outlineLevel="0" collapsed="false">
      <c r="A2" s="7" t="s">
        <v>90</v>
      </c>
      <c r="B2" s="7" t="s">
        <v>91</v>
      </c>
      <c r="C2" s="7" t="s">
        <v>92</v>
      </c>
      <c r="D2" s="7" t="s">
        <v>40</v>
      </c>
    </row>
    <row r="3" customFormat="false" ht="37.5" hidden="false" customHeight="true" outlineLevel="0" collapsed="false">
      <c r="A3" s="8" t="s">
        <v>93</v>
      </c>
      <c r="B3" s="8" t="s">
        <v>94</v>
      </c>
      <c r="C3" s="8" t="s">
        <v>95</v>
      </c>
      <c r="D3" s="8" t="s">
        <v>50</v>
      </c>
    </row>
    <row r="4" customFormat="false" ht="15" hidden="false" customHeight="false" outlineLevel="0" collapsed="false">
      <c r="A4" s="10" t="s">
        <v>51</v>
      </c>
      <c r="B4" s="10" t="s">
        <v>52</v>
      </c>
      <c r="C4" s="10" t="s">
        <v>53</v>
      </c>
      <c r="D4" s="10" t="s">
        <v>54</v>
      </c>
    </row>
    <row r="5" customFormat="false" ht="15" hidden="false" customHeight="false" outlineLevel="0" collapsed="false">
      <c r="A5" s="11" t="s">
        <v>96</v>
      </c>
      <c r="B5" s="12"/>
      <c r="C5" s="12"/>
      <c r="D5" s="12" t="s">
        <v>63</v>
      </c>
    </row>
    <row r="6" customFormat="false" ht="15" hidden="false" customHeight="false" outlineLevel="0" collapsed="false">
      <c r="A6" s="11" t="s">
        <v>97</v>
      </c>
      <c r="B6" s="12"/>
      <c r="C6" s="12"/>
      <c r="D6" s="12" t="s">
        <v>63</v>
      </c>
    </row>
    <row r="7" customFormat="false" ht="15" hidden="false" customHeight="false" outlineLevel="0" collapsed="false">
      <c r="A7" s="11" t="s">
        <v>98</v>
      </c>
      <c r="B7" s="12"/>
      <c r="C7" s="12"/>
      <c r="D7" s="12" t="s">
        <v>63</v>
      </c>
    </row>
    <row r="8" customFormat="false" ht="15" hidden="false" customHeight="false" outlineLevel="0" collapsed="false">
      <c r="A8" s="11" t="s">
        <v>99</v>
      </c>
      <c r="B8" s="12"/>
      <c r="C8" s="12" t="s">
        <v>100</v>
      </c>
      <c r="D8" s="12" t="s">
        <v>63</v>
      </c>
    </row>
    <row r="9" customFormat="false" ht="15" hidden="false" customHeight="false" outlineLevel="0" collapsed="false">
      <c r="A9" s="11" t="s">
        <v>101</v>
      </c>
      <c r="B9" s="12"/>
      <c r="C9" s="12" t="s">
        <v>102</v>
      </c>
      <c r="D9" s="12" t="s">
        <v>63</v>
      </c>
    </row>
  </sheetData>
  <mergeCells count="1">
    <mergeCell ref="A1:D1"/>
  </mergeCells>
  <dataValidations count="1">
    <dataValidation allowBlank="true" error="Chọn giá trị trong danh sách." errorStyle="stop" errorTitle="Sai dữ liệu" operator="between" showDropDown="false" showErrorMessage="true" showInputMessage="false" sqref="D5:D9" type="list">
      <formula1>"Đang sử dụng,Ngừng sử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</cols>
  <sheetData>
    <row r="1" customFormat="false" ht="27.75" hidden="false" customHeight="true" outlineLevel="0" collapsed="false">
      <c r="A1" s="6" t="s">
        <v>103</v>
      </c>
      <c r="B1" s="6"/>
    </row>
    <row r="2" customFormat="false" ht="27.75" hidden="false" customHeight="true" outlineLevel="0" collapsed="false">
      <c r="A2" s="7" t="s">
        <v>104</v>
      </c>
      <c r="B2" s="7" t="s">
        <v>92</v>
      </c>
    </row>
    <row r="3" customFormat="false" ht="37.5" hidden="false" customHeight="true" outlineLevel="0" collapsed="false">
      <c r="A3" s="8" t="s">
        <v>105</v>
      </c>
      <c r="B3" s="8" t="s">
        <v>95</v>
      </c>
    </row>
    <row r="4" customFormat="false" ht="15" hidden="false" customHeight="false" outlineLevel="0" collapsed="false">
      <c r="A4" s="10" t="s">
        <v>51</v>
      </c>
      <c r="B4" s="10" t="s">
        <v>52</v>
      </c>
    </row>
    <row r="5" customFormat="false" ht="15" hidden="false" customHeight="false" outlineLevel="0" collapsed="false">
      <c r="A5" s="12" t="s">
        <v>106</v>
      </c>
      <c r="B5" s="12"/>
    </row>
    <row r="6" customFormat="false" ht="15" hidden="false" customHeight="false" outlineLevel="0" collapsed="false">
      <c r="A6" s="12" t="s">
        <v>107</v>
      </c>
      <c r="B6" s="12"/>
    </row>
    <row r="7" customFormat="false" ht="15" hidden="false" customHeight="false" outlineLevel="0" collapsed="false">
      <c r="A7" s="12" t="s">
        <v>108</v>
      </c>
      <c r="B7" s="12"/>
    </row>
    <row r="8" customFormat="false" ht="15" hidden="false" customHeight="false" outlineLevel="0" collapsed="false">
      <c r="A8" s="12" t="s">
        <v>109</v>
      </c>
      <c r="B8" s="12"/>
    </row>
    <row r="9" customFormat="false" ht="15" hidden="false" customHeight="false" outlineLevel="0" collapsed="false">
      <c r="A9" s="12" t="s">
        <v>110</v>
      </c>
      <c r="B9" s="12"/>
    </row>
    <row r="10" customFormat="false" ht="15" hidden="false" customHeight="false" outlineLevel="0" collapsed="false">
      <c r="A10" s="12" t="s">
        <v>111</v>
      </c>
      <c r="B10" s="12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6" t="s">
        <v>112</v>
      </c>
      <c r="B1" s="6"/>
      <c r="C1" s="6"/>
      <c r="D1" s="6"/>
    </row>
    <row r="2" customFormat="false" ht="27.75" hidden="false" customHeight="true" outlineLevel="0" collapsed="false">
      <c r="A2" s="7" t="s">
        <v>113</v>
      </c>
      <c r="B2" s="7" t="s">
        <v>114</v>
      </c>
      <c r="C2" s="7" t="s">
        <v>115</v>
      </c>
      <c r="D2" s="7" t="s">
        <v>92</v>
      </c>
    </row>
    <row r="3" customFormat="false" ht="37.5" hidden="false" customHeight="true" outlineLevel="0" collapsed="false">
      <c r="A3" s="8" t="s">
        <v>116</v>
      </c>
      <c r="B3" s="8" t="s">
        <v>117</v>
      </c>
      <c r="C3" s="9" t="s">
        <v>118</v>
      </c>
      <c r="D3" s="8" t="s">
        <v>95</v>
      </c>
    </row>
    <row r="4" customFormat="false" ht="15" hidden="false" customHeight="false" outlineLevel="0" collapsed="false">
      <c r="A4" s="10" t="s">
        <v>51</v>
      </c>
      <c r="B4" s="10" t="s">
        <v>52</v>
      </c>
      <c r="C4" s="10" t="s">
        <v>53</v>
      </c>
      <c r="D4" s="10" t="s">
        <v>54</v>
      </c>
    </row>
    <row r="5" customFormat="false" ht="15" hidden="false" customHeight="false" outlineLevel="0" collapsed="false">
      <c r="A5" s="15" t="n">
        <v>46388</v>
      </c>
      <c r="B5" s="12" t="s">
        <v>119</v>
      </c>
      <c r="C5" s="16" t="str">
        <f aca="false">IF(A5="","",CHOOSE(WEEKDAY(A5),"CN","T2","T3","T4","T5","T6","T7"))</f>
        <v>T6</v>
      </c>
      <c r="D5" s="12" t="s">
        <v>120</v>
      </c>
    </row>
    <row r="6" customFormat="false" ht="15" hidden="false" customHeight="false" outlineLevel="0" collapsed="false">
      <c r="A6" s="17" t="n">
        <v>46305</v>
      </c>
      <c r="B6" s="18" t="s">
        <v>119</v>
      </c>
      <c r="C6" s="0" t="str">
        <f aca="false">IF(A6="","",CHOOSE(WEEKDAY(A6),"CN","T2","T3","T4","T5","T6","T7"))</f>
        <v>T7</v>
      </c>
    </row>
    <row r="7" customFormat="false" ht="15" hidden="false" customHeight="false" outlineLevel="0" collapsed="false">
      <c r="A7" s="17" t="n">
        <v>46313</v>
      </c>
      <c r="B7" s="18" t="s">
        <v>121</v>
      </c>
      <c r="C7" s="0" t="str">
        <f aca="false">IF(A7="","",CHOOSE(WEEKDAY(A7),"CN","T2","T3","T4","T5","T6","T7"))</f>
        <v>CN</v>
      </c>
    </row>
  </sheetData>
  <mergeCells count="1">
    <mergeCell ref="A1:D1"/>
  </mergeCells>
  <dataValidations count="1">
    <dataValidation allowBlank="true" error="Chọn Nghỉ (ngày thường được nghỉ) hoặc Làm bù (Chủ nhật đi làm)." errorStyle="stop" errorTitle="Sai dữ liệu" operator="between" showDropDown="false" showErrorMessage="true" showInputMessage="false" sqref="B5" type="list">
      <formula1>"Nghỉ,Làm bù"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19" min="8" style="0" width="8"/>
    <col collapsed="false" customWidth="true" hidden="false" outlineLevel="0" max="20" min="20" style="0" width="13"/>
    <col collapsed="false" customWidth="true" hidden="false" outlineLevel="0" max="23" min="21" style="0" width="11"/>
    <col collapsed="false" customWidth="true" hidden="false" outlineLevel="0" max="24" min="24" style="0" width="9"/>
    <col collapsed="false" customWidth="true" hidden="false" outlineLevel="0" max="25" min="25" style="0" width="13"/>
    <col collapsed="false" customWidth="true" hidden="false" outlineLevel="0" max="26" min="26" style="0" width="11"/>
    <col collapsed="false" customWidth="true" hidden="false" outlineLevel="0" max="28" min="27" style="0" width="12"/>
    <col collapsed="false" customWidth="true" hidden="false" outlineLevel="0" max="29" min="29" style="0" width="13"/>
    <col collapsed="false" customWidth="true" hidden="false" outlineLevel="0" max="31" min="30" style="0" width="22"/>
    <col collapsed="false" customWidth="true" hidden="true" outlineLevel="0" max="32" min="32" style="0" width="16"/>
    <col collapsed="false" customWidth="true" hidden="false" outlineLevel="0" max="34" min="33" style="0" width="10"/>
    <col collapsed="false" customWidth="true" hidden="false" outlineLevel="0" max="35" min="35" style="0" width="22"/>
    <col collapsed="false" customWidth="true" hidden="false" outlineLevel="0" max="36" min="36" style="0" width="10"/>
    <col collapsed="false" customWidth="true" hidden="false" outlineLevel="0" max="37" min="37" style="0" width="11"/>
    <col collapsed="false" customWidth="true" hidden="false" outlineLevel="0" max="38" min="38" style="0" width="10"/>
  </cols>
  <sheetData>
    <row r="1" customFormat="false" ht="27.75" hidden="false" customHeight="true" outlineLevel="0" collapsed="false">
      <c r="A1" s="6" t="s">
        <v>122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113</v>
      </c>
      <c r="B2" s="7" t="s">
        <v>123</v>
      </c>
      <c r="C2" s="7" t="s">
        <v>90</v>
      </c>
      <c r="D2" s="7" t="s">
        <v>124</v>
      </c>
      <c r="E2" s="7" t="s">
        <v>125</v>
      </c>
      <c r="F2" s="7" t="s">
        <v>33</v>
      </c>
      <c r="G2" s="7" t="s">
        <v>126</v>
      </c>
      <c r="H2" s="7" t="s">
        <v>127</v>
      </c>
      <c r="I2" s="7" t="s">
        <v>128</v>
      </c>
      <c r="J2" s="7" t="s">
        <v>129</v>
      </c>
      <c r="K2" s="7" t="s">
        <v>130</v>
      </c>
      <c r="L2" s="7" t="s">
        <v>131</v>
      </c>
      <c r="M2" s="7" t="s">
        <v>132</v>
      </c>
      <c r="N2" s="7" t="s">
        <v>133</v>
      </c>
      <c r="O2" s="7" t="s">
        <v>134</v>
      </c>
      <c r="P2" s="7" t="s">
        <v>135</v>
      </c>
      <c r="Q2" s="7" t="s">
        <v>136</v>
      </c>
      <c r="R2" s="7" t="s">
        <v>137</v>
      </c>
      <c r="S2" s="7" t="s">
        <v>138</v>
      </c>
      <c r="T2" s="7" t="s">
        <v>139</v>
      </c>
      <c r="U2" s="7" t="s">
        <v>140</v>
      </c>
      <c r="V2" s="7" t="s">
        <v>141</v>
      </c>
      <c r="W2" s="7" t="s">
        <v>142</v>
      </c>
      <c r="X2" s="7" t="s">
        <v>143</v>
      </c>
      <c r="Y2" s="7" t="s">
        <v>144</v>
      </c>
      <c r="Z2" s="7" t="s">
        <v>145</v>
      </c>
      <c r="AA2" s="7" t="s">
        <v>146</v>
      </c>
      <c r="AB2" s="7" t="s">
        <v>147</v>
      </c>
      <c r="AC2" s="7" t="s">
        <v>148</v>
      </c>
      <c r="AD2" s="7" t="s">
        <v>92</v>
      </c>
      <c r="AE2" s="7" t="s">
        <v>149</v>
      </c>
      <c r="AF2" s="7" t="s">
        <v>150</v>
      </c>
      <c r="AG2" s="7" t="s">
        <v>151</v>
      </c>
      <c r="AH2" s="7" t="s">
        <v>152</v>
      </c>
      <c r="AI2" s="7" t="s">
        <v>153</v>
      </c>
      <c r="AJ2" s="7" t="s">
        <v>154</v>
      </c>
      <c r="AK2" s="7" t="s">
        <v>155</v>
      </c>
      <c r="AL2" s="7" t="s">
        <v>156</v>
      </c>
    </row>
    <row r="3" customFormat="false" ht="37.5" hidden="false" customHeight="true" outlineLevel="0" collapsed="false">
      <c r="A3" s="8" t="s">
        <v>116</v>
      </c>
      <c r="B3" s="8" t="s">
        <v>157</v>
      </c>
      <c r="C3" s="8" t="s">
        <v>93</v>
      </c>
      <c r="D3" s="8" t="s">
        <v>41</v>
      </c>
      <c r="E3" s="8" t="s">
        <v>158</v>
      </c>
      <c r="F3" s="9" t="s">
        <v>159</v>
      </c>
      <c r="G3" s="9" t="s">
        <v>160</v>
      </c>
      <c r="H3" s="8" t="s">
        <v>161</v>
      </c>
      <c r="I3" s="8" t="s">
        <v>162</v>
      </c>
      <c r="J3" s="8" t="s">
        <v>163</v>
      </c>
      <c r="K3" s="8" t="s">
        <v>164</v>
      </c>
      <c r="L3" s="8" t="s">
        <v>165</v>
      </c>
      <c r="M3" s="8" t="s">
        <v>166</v>
      </c>
      <c r="N3" s="8" t="s">
        <v>167</v>
      </c>
      <c r="O3" s="8" t="s">
        <v>168</v>
      </c>
      <c r="P3" s="8" t="s">
        <v>169</v>
      </c>
      <c r="Q3" s="8" t="s">
        <v>170</v>
      </c>
      <c r="R3" s="8" t="s">
        <v>171</v>
      </c>
      <c r="S3" s="8" t="s">
        <v>172</v>
      </c>
      <c r="T3" s="9" t="s">
        <v>173</v>
      </c>
      <c r="U3" s="9" t="s">
        <v>174</v>
      </c>
      <c r="V3" s="9" t="s">
        <v>175</v>
      </c>
      <c r="W3" s="9" t="s">
        <v>176</v>
      </c>
      <c r="X3" s="9" t="s">
        <v>177</v>
      </c>
      <c r="Y3" s="9" t="s">
        <v>178</v>
      </c>
      <c r="Z3" s="9" t="s">
        <v>179</v>
      </c>
      <c r="AA3" s="9" t="s">
        <v>180</v>
      </c>
      <c r="AB3" s="9" t="s">
        <v>181</v>
      </c>
      <c r="AC3" s="8" t="s">
        <v>50</v>
      </c>
      <c r="AD3" s="8" t="s">
        <v>95</v>
      </c>
      <c r="AE3" s="9" t="s">
        <v>182</v>
      </c>
      <c r="AF3" s="9" t="s">
        <v>183</v>
      </c>
      <c r="AG3" s="8" t="s">
        <v>184</v>
      </c>
      <c r="AH3" s="8" t="s">
        <v>185</v>
      </c>
      <c r="AI3" s="8" t="s">
        <v>105</v>
      </c>
      <c r="AJ3" s="8" t="s">
        <v>186</v>
      </c>
      <c r="AK3" s="9" t="s">
        <v>187</v>
      </c>
      <c r="AL3" s="9" t="s">
        <v>188</v>
      </c>
    </row>
    <row r="4" customFormat="false" ht="15" hidden="false" customHeight="false" outlineLevel="0" collapsed="false">
      <c r="A4" s="10" t="s">
        <v>51</v>
      </c>
      <c r="B4" s="10" t="s">
        <v>52</v>
      </c>
      <c r="C4" s="10" t="s">
        <v>53</v>
      </c>
      <c r="D4" s="10" t="s">
        <v>54</v>
      </c>
      <c r="E4" s="10" t="s">
        <v>55</v>
      </c>
      <c r="F4" s="10" t="s">
        <v>56</v>
      </c>
      <c r="G4" s="10" t="s">
        <v>57</v>
      </c>
      <c r="H4" s="10" t="s">
        <v>58</v>
      </c>
      <c r="I4" s="10" t="s">
        <v>59</v>
      </c>
      <c r="J4" s="10" t="s">
        <v>60</v>
      </c>
      <c r="K4" s="10" t="s">
        <v>189</v>
      </c>
      <c r="L4" s="10" t="s">
        <v>190</v>
      </c>
      <c r="M4" s="10" t="s">
        <v>191</v>
      </c>
      <c r="N4" s="10" t="s">
        <v>192</v>
      </c>
      <c r="O4" s="10" t="s">
        <v>193</v>
      </c>
      <c r="P4" s="10" t="s">
        <v>194</v>
      </c>
      <c r="Q4" s="10" t="s">
        <v>195</v>
      </c>
      <c r="R4" s="10" t="s">
        <v>196</v>
      </c>
      <c r="S4" s="10" t="s">
        <v>197</v>
      </c>
      <c r="T4" s="10" t="s">
        <v>198</v>
      </c>
      <c r="U4" s="10" t="s">
        <v>199</v>
      </c>
      <c r="V4" s="10" t="s">
        <v>200</v>
      </c>
      <c r="W4" s="10" t="s">
        <v>201</v>
      </c>
      <c r="X4" s="10" t="s">
        <v>202</v>
      </c>
      <c r="Y4" s="10" t="s">
        <v>203</v>
      </c>
      <c r="Z4" s="10" t="s">
        <v>204</v>
      </c>
      <c r="AA4" s="10" t="s">
        <v>205</v>
      </c>
      <c r="AB4" s="10" t="s">
        <v>206</v>
      </c>
      <c r="AC4" s="10" t="s">
        <v>207</v>
      </c>
      <c r="AD4" s="10" t="s">
        <v>208</v>
      </c>
      <c r="AE4" s="10" t="s">
        <v>209</v>
      </c>
      <c r="AF4" s="10" t="s">
        <v>210</v>
      </c>
      <c r="AG4" s="10" t="s">
        <v>211</v>
      </c>
      <c r="AH4" s="10" t="s">
        <v>212</v>
      </c>
      <c r="AI4" s="10" t="s">
        <v>213</v>
      </c>
      <c r="AJ4" s="10" t="s">
        <v>214</v>
      </c>
      <c r="AK4" s="10" t="s">
        <v>215</v>
      </c>
      <c r="AL4" s="10" t="s">
        <v>216</v>
      </c>
    </row>
    <row r="5" customFormat="false" ht="15" hidden="false" customHeight="false" outlineLevel="0" collapsed="false">
      <c r="A5" s="15" t="n">
        <v>46295</v>
      </c>
      <c r="B5" s="12" t="s">
        <v>78</v>
      </c>
      <c r="C5" s="11" t="s">
        <v>96</v>
      </c>
      <c r="D5" s="11" t="s">
        <v>61</v>
      </c>
      <c r="E5" s="19" t="n">
        <v>100</v>
      </c>
      <c r="F5" s="13" t="n">
        <f aca="false">IF(D5="","",IFERROR(INDEX(CAU_HINH_CA!$C$5:$C$50,MATCH(D5,CAU_HINH_CA!$A$5:$A$50,0)),""))</f>
        <v>8</v>
      </c>
      <c r="G5" s="20" t="n">
        <f aca="false">IF(OR(F5="",E5=""),"",ROUND(F5*E5,0))</f>
        <v>800</v>
      </c>
      <c r="H5" s="19" t="n">
        <v>100</v>
      </c>
      <c r="I5" s="19" t="n">
        <v>90</v>
      </c>
      <c r="J5" s="19" t="n">
        <v>110</v>
      </c>
      <c r="K5" s="19"/>
      <c r="L5" s="19"/>
      <c r="M5" s="19"/>
      <c r="N5" s="19"/>
      <c r="O5" s="19"/>
      <c r="P5" s="19"/>
      <c r="Q5" s="19"/>
      <c r="R5" s="19"/>
      <c r="S5" s="19"/>
      <c r="T5" s="20" t="n">
        <f aca="false">IF(COUNT(H5:S5)=0,"",SUM(H5:S5))</f>
        <v>300</v>
      </c>
      <c r="U5" s="21" t="n">
        <f aca="false">IF(OR(T5="",N(G5)=0),"",T5/G5)</f>
        <v>0.375</v>
      </c>
      <c r="V5" s="22" t="n">
        <f aca="false">IF(OR(T5="",G5=""),"",T5-G5)</f>
        <v>-500</v>
      </c>
      <c r="W5" s="20" t="n">
        <f aca="false">IF(OR(T5="",G5=""),"",MAX(0,G5-T5))</f>
        <v>500</v>
      </c>
      <c r="X5" s="23" t="n">
        <f aca="false">IF(A5="","",COUNT(H5:S5))</f>
        <v>3</v>
      </c>
      <c r="Y5" s="20" t="n">
        <f aca="false">IF(OR(X5="",E5="",G5=""),"",MIN(G5,X5*E5))</f>
        <v>300</v>
      </c>
      <c r="Z5" s="21" t="n">
        <f aca="false">IF(OR(T5="",N(Y5)=0),"",T5/Y5)</f>
        <v>1</v>
      </c>
      <c r="AA5" s="24" t="n">
        <f aca="false">IF(OR(A5="",B5=""),"",IF(SUMPRODUCT(MAX(($B$5:$B$10004=B5)*($A$5:$A$10004&lt;A5)*$A$5:$A$10004))=0,"",SUMPRODUCT(MAX(($B$5:$B$10004=B5)*($A$5:$A$10004&lt;A5)*$A$5:$A$10004))))</f>
        <v>46294</v>
      </c>
      <c r="AB5" s="20" t="n">
        <f aca="false">IF(N(AA5)=0,"",SUMIFS($W$5:$W$10004,$B$5:$B$10004,B5,$A$5:$A$10004,AA5))</f>
        <v>40</v>
      </c>
      <c r="AC5" s="12" t="s">
        <v>217</v>
      </c>
      <c r="AD5" s="12"/>
      <c r="AE5" s="16" t="str">
        <f aca="false">IF(OR(A5="",B5=""),"",IF(COUNTIFS($A$5:$A$10004,A5,$B$5:$B$10004,B5)&gt;1,"TRÙNG NGÀY + CHUYỀN",IF(G5="","THIẾU MÃ CA / MỤC TIÊU GIỜ",IF(SUMPRODUCT((COLUMN(H5:S5)-COLUMN(H5)+1&gt;ROUNDUP(F5,0))*(H5:S5&lt;&gt;""))&gt;0,"NHẬP QUÁ GIỜ CA",IF(AND(N(X5)&gt;=ROUNDUP(N(F5),0),N(F5)&gt;0,N(T5)&lt;N(G5),AI5=""),"CHƯA GHI LÝ DO KHÔNG ĐẠT",IF(COUNTIFS(MUC_TIEU_THANG!$B$5:$B$2004,C5,MUC_TIEU_THANG!$A$5:$A$2004,"&gt;="&amp;DATE(YEAR(A5),MONTH(A5),1),MUC_TIEU_THANG!$A$5:$A$2004,"&lt;"&amp;DATE(YEAR(A5),MONTH(A5)+1,1))=0,"CHƯA CÓ MỤC TIÊU THÁNG","OK"))))))</f>
        <v>OK</v>
      </c>
      <c r="AF5" s="16" t="str">
        <f aca="false">IF(OR(A5="",B5=""),"",B5&amp;"|"&amp;A5)</f>
        <v>Chuyền 1|46295</v>
      </c>
      <c r="AG5" s="25"/>
      <c r="AH5" s="19"/>
      <c r="AI5" s="12"/>
      <c r="AJ5" s="25"/>
      <c r="AK5" s="26" t="str">
        <f aca="false">IF(OR(T5="",N(AG5)=0,N(X5)=0),"",T5/(AG5*X5))</f>
        <v/>
      </c>
      <c r="AL5" s="27" t="str">
        <f aca="false">IF(OR(AH5="",N(T5)=0),"",AH5/T5)</f>
        <v/>
      </c>
    </row>
    <row r="6" customFormat="false" ht="15" hidden="false" customHeight="false" outlineLevel="0" collapsed="false">
      <c r="A6" s="15" t="n">
        <v>46295</v>
      </c>
      <c r="B6" s="12" t="s">
        <v>80</v>
      </c>
      <c r="C6" s="11" t="s">
        <v>97</v>
      </c>
      <c r="D6" s="11" t="s">
        <v>66</v>
      </c>
      <c r="E6" s="19" t="n">
        <v>100</v>
      </c>
      <c r="F6" s="13" t="n">
        <f aca="false">IF(D6="","",IFERROR(INDEX(CAU_HINH_CA!$C$5:$C$50,MATCH(D6,CAU_HINH_CA!$A$5:$A$50,0)),""))</f>
        <v>10</v>
      </c>
      <c r="G6" s="20" t="n">
        <f aca="false">IF(OR(F6="",E6=""),"",ROUND(F6*E6,0))</f>
        <v>1000</v>
      </c>
      <c r="H6" s="19" t="n">
        <v>100</v>
      </c>
      <c r="I6" s="19" t="n">
        <v>100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20" t="n">
        <f aca="false">IF(COUNT(H6:S6)=0,"",SUM(H6:S6))</f>
        <v>200</v>
      </c>
      <c r="U6" s="21" t="n">
        <f aca="false">IF(OR(T6="",N(G6)=0),"",T6/G6)</f>
        <v>0.2</v>
      </c>
      <c r="V6" s="22" t="n">
        <f aca="false">IF(OR(T6="",G6=""),"",T6-G6)</f>
        <v>-800</v>
      </c>
      <c r="W6" s="20" t="n">
        <f aca="false">IF(OR(T6="",G6=""),"",MAX(0,G6-T6))</f>
        <v>800</v>
      </c>
      <c r="X6" s="23" t="n">
        <f aca="false">IF(A6="","",COUNT(H6:S6))</f>
        <v>2</v>
      </c>
      <c r="Y6" s="20" t="n">
        <f aca="false">IF(OR(X6="",E6="",G6=""),"",MIN(G6,X6*E6))</f>
        <v>200</v>
      </c>
      <c r="Z6" s="21" t="n">
        <f aca="false">IF(OR(T6="",N(Y6)=0),"",T6/Y6)</f>
        <v>1</v>
      </c>
      <c r="AA6" s="24" t="n">
        <f aca="false">IF(OR(A6="",B6=""),"",IF(SUMPRODUCT(MAX(($B$5:$B$10004=B6)*($A$5:$A$10004&lt;A6)*$A$5:$A$10004))=0,"",SUMPRODUCT(MAX(($B$5:$B$10004=B6)*($A$5:$A$10004&lt;A6)*$A$5:$A$10004))))</f>
        <v>46294</v>
      </c>
      <c r="AB6" s="20" t="n">
        <f aca="false">IF(N(AA6)=0,"",SUMIFS($W$5:$W$10004,$B$5:$B$10004,B6,$A$5:$A$10004,AA6))</f>
        <v>0</v>
      </c>
      <c r="AC6" s="12" t="s">
        <v>217</v>
      </c>
      <c r="AD6" s="12"/>
      <c r="AE6" s="16" t="str">
        <f aca="false">IF(OR(A6="",B6=""),"",IF(COUNTIFS($A$5:$A$10004,A6,$B$5:$B$10004,B6)&gt;1,"TRÙNG NGÀY + CHUYỀN",IF(G6="","THIẾU MÃ CA / MỤC TIÊU GIỜ",IF(SUMPRODUCT((COLUMN(H6:S6)-COLUMN(H6)+1&gt;ROUNDUP(F6,0))*(H6:S6&lt;&gt;""))&gt;0,"NHẬP QUÁ GIỜ CA",IF(AND(N(X6)&gt;=ROUNDUP(N(F6),0),N(F6)&gt;0,N(T6)&lt;N(G6),AI6=""),"CHƯA GHI LÝ DO KHÔNG ĐẠT",IF(COUNTIFS(MUC_TIEU_THANG!$B$5:$B$2004,C6,MUC_TIEU_THANG!$A$5:$A$2004,"&gt;="&amp;DATE(YEAR(A6),MONTH(A6),1),MUC_TIEU_THANG!$A$5:$A$2004,"&lt;"&amp;DATE(YEAR(A6),MONTH(A6)+1,1))=0,"CHƯA CÓ MỤC TIÊU THÁNG","OK"))))))</f>
        <v>OK</v>
      </c>
      <c r="AF6" s="16" t="str">
        <f aca="false">IF(OR(A6="",B6=""),"",B6&amp;"|"&amp;A6)</f>
        <v>Chuyền 2|46295</v>
      </c>
      <c r="AG6" s="25"/>
      <c r="AH6" s="19"/>
      <c r="AI6" s="12"/>
      <c r="AJ6" s="25"/>
      <c r="AK6" s="26" t="str">
        <f aca="false">IF(OR(T6="",N(AG6)=0,N(X6)=0),"",T6/(AG6*X6))</f>
        <v/>
      </c>
      <c r="AL6" s="27" t="str">
        <f aca="false">IF(OR(AH6="",N(T6)=0),"",AH6/T6)</f>
        <v/>
      </c>
    </row>
    <row r="7" customFormat="false" ht="15" hidden="false" customHeight="false" outlineLevel="0" collapsed="false">
      <c r="A7" s="15" t="n">
        <v>46295</v>
      </c>
      <c r="B7" s="12" t="s">
        <v>82</v>
      </c>
      <c r="C7" s="11" t="s">
        <v>98</v>
      </c>
      <c r="D7" s="11" t="s">
        <v>68</v>
      </c>
      <c r="E7" s="19" t="n">
        <v>185</v>
      </c>
      <c r="F7" s="13" t="n">
        <f aca="false">IF(D7="","",IFERROR(INDEX(CAU_HINH_CA!$C$5:$C$50,MATCH(D7,CAU_HINH_CA!$A$5:$A$50,0)),""))</f>
        <v>11.5</v>
      </c>
      <c r="G7" s="20" t="n">
        <f aca="false">IF(OR(F7="",E7=""),"",ROUND(F7*E7,0))</f>
        <v>2128</v>
      </c>
      <c r="H7" s="19" t="n">
        <v>180</v>
      </c>
      <c r="I7" s="19" t="n">
        <v>185</v>
      </c>
      <c r="J7" s="19" t="n">
        <v>190</v>
      </c>
      <c r="K7" s="19" t="n">
        <v>170</v>
      </c>
      <c r="L7" s="19"/>
      <c r="M7" s="19"/>
      <c r="N7" s="19"/>
      <c r="O7" s="19"/>
      <c r="P7" s="19"/>
      <c r="Q7" s="19"/>
      <c r="R7" s="19"/>
      <c r="S7" s="19"/>
      <c r="T7" s="20" t="n">
        <f aca="false">IF(COUNT(H7:S7)=0,"",SUM(H7:S7))</f>
        <v>725</v>
      </c>
      <c r="U7" s="21" t="n">
        <f aca="false">IF(OR(T7="",N(G7)=0),"",T7/G7)</f>
        <v>0.340695488721805</v>
      </c>
      <c r="V7" s="22" t="n">
        <f aca="false">IF(OR(T7="",G7=""),"",T7-G7)</f>
        <v>-1403</v>
      </c>
      <c r="W7" s="20" t="n">
        <f aca="false">IF(OR(T7="",G7=""),"",MAX(0,G7-T7))</f>
        <v>1403</v>
      </c>
      <c r="X7" s="23" t="n">
        <f aca="false">IF(A7="","",COUNT(H7:S7))</f>
        <v>4</v>
      </c>
      <c r="Y7" s="20" t="n">
        <f aca="false">IF(OR(X7="",E7="",G7=""),"",MIN(G7,X7*E7))</f>
        <v>740</v>
      </c>
      <c r="Z7" s="21" t="n">
        <f aca="false">IF(OR(T7="",N(Y7)=0),"",T7/Y7)</f>
        <v>0.97972972972973</v>
      </c>
      <c r="AA7" s="24" t="str">
        <f aca="false">IF(OR(A7="",B7=""),"",IF(SUMPRODUCT(MAX(($B$5:$B$10004=B7)*($A$5:$A$10004&lt;A7)*$A$5:$A$10004))=0,"",SUMPRODUCT(MAX(($B$5:$B$10004=B7)*($A$5:$A$10004&lt;A7)*$A$5:$A$10004))))</f>
        <v/>
      </c>
      <c r="AB7" s="20" t="str">
        <f aca="false">IF(N(AA7)=0,"",SUMIFS($W$5:$W$10004,$B$5:$B$10004,B7,$A$5:$A$10004,AA7))</f>
        <v/>
      </c>
      <c r="AC7" s="12" t="s">
        <v>217</v>
      </c>
      <c r="AD7" s="12"/>
      <c r="AE7" s="16" t="str">
        <f aca="false">IF(OR(A7="",B7=""),"",IF(COUNTIFS($A$5:$A$10004,A7,$B$5:$B$10004,B7)&gt;1,"TRÙNG NGÀY + CHUYỀN",IF(G7="","THIẾU MÃ CA / MỤC TIÊU GIỜ",IF(SUMPRODUCT((COLUMN(H7:S7)-COLUMN(H7)+1&gt;ROUNDUP(F7,0))*(H7:S7&lt;&gt;""))&gt;0,"NHẬP QUÁ GIỜ CA",IF(AND(N(X7)&gt;=ROUNDUP(N(F7),0),N(F7)&gt;0,N(T7)&lt;N(G7),AI7=""),"CHƯA GHI LÝ DO KHÔNG ĐẠT",IF(COUNTIFS(MUC_TIEU_THANG!$B$5:$B$2004,C7,MUC_TIEU_THANG!$A$5:$A$2004,"&gt;="&amp;DATE(YEAR(A7),MONTH(A7),1),MUC_TIEU_THANG!$A$5:$A$2004,"&lt;"&amp;DATE(YEAR(A7),MONTH(A7)+1,1))=0,"CHƯA CÓ MỤC TIÊU THÁNG","OK"))))))</f>
        <v>OK</v>
      </c>
      <c r="AF7" s="16" t="str">
        <f aca="false">IF(OR(A7="",B7=""),"",B7&amp;"|"&amp;A7)</f>
        <v>Chuyền 3|46295</v>
      </c>
      <c r="AG7" s="25"/>
      <c r="AH7" s="19"/>
      <c r="AI7" s="12"/>
      <c r="AJ7" s="25"/>
      <c r="AK7" s="26" t="str">
        <f aca="false">IF(OR(T7="",N(AG7)=0,N(X7)=0),"",T7/(AG7*X7))</f>
        <v/>
      </c>
      <c r="AL7" s="27" t="str">
        <f aca="false">IF(OR(AH7="",N(T7)=0),"",AH7/T7)</f>
        <v/>
      </c>
    </row>
    <row r="8" customFormat="false" ht="15" hidden="false" customHeight="false" outlineLevel="0" collapsed="false">
      <c r="A8" s="15" t="n">
        <v>46295</v>
      </c>
      <c r="B8" s="12" t="s">
        <v>84</v>
      </c>
      <c r="C8" s="11" t="s">
        <v>101</v>
      </c>
      <c r="D8" s="11" t="s">
        <v>64</v>
      </c>
      <c r="E8" s="19" t="n">
        <v>100</v>
      </c>
      <c r="F8" s="13" t="n">
        <f aca="false">IF(D8="","",IFERROR(INDEX(CAU_HINH_CA!$C$5:$C$50,MATCH(D8,CAU_HINH_CA!$A$5:$A$50,0)),""))</f>
        <v>9</v>
      </c>
      <c r="G8" s="20" t="n">
        <f aca="false">IF(OR(F8="",E8=""),"",ROUND(F8*E8,0))</f>
        <v>900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0" t="str">
        <f aca="false">IF(COUNT(H8:S8)=0,"",SUM(H8:S8))</f>
        <v/>
      </c>
      <c r="U8" s="21" t="str">
        <f aca="false">IF(OR(T8="",N(G8)=0),"",T8/G8)</f>
        <v/>
      </c>
      <c r="V8" s="22" t="str">
        <f aca="false">IF(OR(T8="",G8=""),"",T8-G8)</f>
        <v/>
      </c>
      <c r="W8" s="20" t="str">
        <f aca="false">IF(OR(T8="",G8=""),"",MAX(0,G8-T8))</f>
        <v/>
      </c>
      <c r="X8" s="23" t="n">
        <f aca="false">IF(A8="","",COUNT(H8:S8))</f>
        <v>0</v>
      </c>
      <c r="Y8" s="20" t="n">
        <f aca="false">IF(OR(X8="",E8="",G8=""),"",MIN(G8,X8*E8))</f>
        <v>0</v>
      </c>
      <c r="Z8" s="21" t="str">
        <f aca="false">IF(OR(T8="",N(Y8)=0),"",T8/Y8)</f>
        <v/>
      </c>
      <c r="AA8" s="24" t="str">
        <f aca="false">IF(OR(A8="",B8=""),"",IF(SUMPRODUCT(MAX(($B$5:$B$10004=B8)*($A$5:$A$10004&lt;A8)*$A$5:$A$10004))=0,"",SUMPRODUCT(MAX(($B$5:$B$10004=B8)*($A$5:$A$10004&lt;A8)*$A$5:$A$10004))))</f>
        <v/>
      </c>
      <c r="AB8" s="20" t="str">
        <f aca="false">IF(N(AA8)=0,"",SUMIFS($W$5:$W$10004,$B$5:$B$10004,B8,$A$5:$A$10004,AA8))</f>
        <v/>
      </c>
      <c r="AC8" s="12" t="s">
        <v>217</v>
      </c>
      <c r="AD8" s="12"/>
      <c r="AE8" s="16" t="str">
        <f aca="false">IF(OR(A8="",B8=""),"",IF(COUNTIFS($A$5:$A$10004,A8,$B$5:$B$10004,B8)&gt;1,"TRÙNG NGÀY + CHUYỀN",IF(G8="","THIẾU MÃ CA / MỤC TIÊU GIỜ",IF(SUMPRODUCT((COLUMN(H8:S8)-COLUMN(H8)+1&gt;ROUNDUP(F8,0))*(H8:S8&lt;&gt;""))&gt;0,"NHẬP QUÁ GIỜ CA",IF(AND(N(X8)&gt;=ROUNDUP(N(F8),0),N(F8)&gt;0,N(T8)&lt;N(G8),AI8=""),"CHƯA GHI LÝ DO KHÔNG ĐẠT",IF(COUNTIFS(MUC_TIEU_THANG!$B$5:$B$2004,C8,MUC_TIEU_THANG!$A$5:$A$2004,"&gt;="&amp;DATE(YEAR(A8),MONTH(A8),1),MUC_TIEU_THANG!$A$5:$A$2004,"&lt;"&amp;DATE(YEAR(A8),MONTH(A8)+1,1))=0,"CHƯA CÓ MỤC TIÊU THÁNG","OK"))))))</f>
        <v>CHƯA CÓ MỤC TIÊU THÁNG</v>
      </c>
      <c r="AF8" s="16" t="str">
        <f aca="false">IF(OR(A8="",B8=""),"",B8&amp;"|"&amp;A8)</f>
        <v>Chuyền 4|46295</v>
      </c>
      <c r="AG8" s="25"/>
      <c r="AH8" s="19"/>
      <c r="AI8" s="12"/>
      <c r="AJ8" s="25"/>
      <c r="AK8" s="26" t="str">
        <f aca="false">IF(OR(T8="",N(AG8)=0,N(X8)=0),"",T8/(AG8*X8))</f>
        <v/>
      </c>
      <c r="AL8" s="27" t="str">
        <f aca="false">IF(OR(AH8="",N(T8)=0),"",AH8/T8)</f>
        <v/>
      </c>
    </row>
    <row r="9" customFormat="false" ht="15" hidden="false" customHeight="false" outlineLevel="0" collapsed="false">
      <c r="A9" s="15" t="n">
        <v>46295</v>
      </c>
      <c r="B9" s="12" t="s">
        <v>88</v>
      </c>
      <c r="C9" s="11" t="s">
        <v>99</v>
      </c>
      <c r="D9" s="11" t="s">
        <v>66</v>
      </c>
      <c r="E9" s="19" t="n">
        <v>40</v>
      </c>
      <c r="F9" s="13" t="n">
        <f aca="false">IF(D9="","",IFERROR(INDEX(CAU_HINH_CA!$C$5:$C$50,MATCH(D9,CAU_HINH_CA!$A$5:$A$50,0)),""))</f>
        <v>10</v>
      </c>
      <c r="G9" s="20" t="n">
        <f aca="false">IF(OR(F9="",E9=""),"",ROUND(F9*E9,0))</f>
        <v>400</v>
      </c>
      <c r="H9" s="19" t="n">
        <v>40</v>
      </c>
      <c r="I9" s="19" t="n">
        <v>40</v>
      </c>
      <c r="J9" s="19" t="n">
        <v>40</v>
      </c>
      <c r="K9" s="19" t="n">
        <v>40</v>
      </c>
      <c r="L9" s="19" t="n">
        <v>40</v>
      </c>
      <c r="M9" s="19"/>
      <c r="N9" s="19"/>
      <c r="O9" s="19"/>
      <c r="P9" s="19"/>
      <c r="Q9" s="19"/>
      <c r="R9" s="19"/>
      <c r="S9" s="19"/>
      <c r="T9" s="20" t="n">
        <f aca="false">IF(COUNT(H9:S9)=0,"",SUM(H9:S9))</f>
        <v>200</v>
      </c>
      <c r="U9" s="21" t="n">
        <f aca="false">IF(OR(T9="",N(G9)=0),"",T9/G9)</f>
        <v>0.5</v>
      </c>
      <c r="V9" s="22" t="n">
        <f aca="false">IF(OR(T9="",G9=""),"",T9-G9)</f>
        <v>-200</v>
      </c>
      <c r="W9" s="20" t="n">
        <f aca="false">IF(OR(T9="",G9=""),"",MAX(0,G9-T9))</f>
        <v>200</v>
      </c>
      <c r="X9" s="23" t="n">
        <f aca="false">IF(A9="","",COUNT(H9:S9))</f>
        <v>5</v>
      </c>
      <c r="Y9" s="20" t="n">
        <f aca="false">IF(OR(X9="",E9="",G9=""),"",MIN(G9,X9*E9))</f>
        <v>200</v>
      </c>
      <c r="Z9" s="21" t="n">
        <f aca="false">IF(OR(T9="",N(Y9)=0),"",T9/Y9)</f>
        <v>1</v>
      </c>
      <c r="AA9" s="24" t="str">
        <f aca="false">IF(OR(A9="",B9=""),"",IF(SUMPRODUCT(MAX(($B$5:$B$10004=B9)*($A$5:$A$10004&lt;A9)*$A$5:$A$10004))=0,"",SUMPRODUCT(MAX(($B$5:$B$10004=B9)*($A$5:$A$10004&lt;A9)*$A$5:$A$10004))))</f>
        <v/>
      </c>
      <c r="AB9" s="20" t="str">
        <f aca="false">IF(N(AA9)=0,"",SUMIFS($W$5:$W$10004,$B$5:$B$10004,B9,$A$5:$A$10004,AA9))</f>
        <v/>
      </c>
      <c r="AC9" s="12" t="s">
        <v>217</v>
      </c>
      <c r="AD9" s="12"/>
      <c r="AE9" s="16" t="str">
        <f aca="false">IF(OR(A9="",B9=""),"",IF(COUNTIFS($A$5:$A$10004,A9,$B$5:$B$10004,B9)&gt;1,"TRÙNG NGÀY + CHUYỀN",IF(G9="","THIẾU MÃ CA / MỤC TIÊU GIỜ",IF(SUMPRODUCT((COLUMN(H9:S9)-COLUMN(H9)+1&gt;ROUNDUP(F9,0))*(H9:S9&lt;&gt;""))&gt;0,"NHẬP QUÁ GIỜ CA",IF(AND(N(X9)&gt;=ROUNDUP(N(F9),0),N(F9)&gt;0,N(T9)&lt;N(G9),AI9=""),"CHƯA GHI LÝ DO KHÔNG ĐẠT",IF(COUNTIFS(MUC_TIEU_THANG!$B$5:$B$2004,C9,MUC_TIEU_THANG!$A$5:$A$2004,"&gt;="&amp;DATE(YEAR(A9),MONTH(A9),1),MUC_TIEU_THANG!$A$5:$A$2004,"&lt;"&amp;DATE(YEAR(A9),MONTH(A9)+1,1))=0,"CHƯA CÓ MỤC TIÊU THÁNG","OK"))))))</f>
        <v>OK</v>
      </c>
      <c r="AF9" s="16" t="str">
        <f aca="false">IF(OR(A9="",B9=""),"",B9&amp;"|"&amp;A9)</f>
        <v>Chuyền 6|46295</v>
      </c>
      <c r="AG9" s="25"/>
      <c r="AH9" s="19"/>
      <c r="AI9" s="12"/>
      <c r="AJ9" s="25"/>
      <c r="AK9" s="26" t="str">
        <f aca="false">IF(OR(T9="",N(AG9)=0,N(X9)=0),"",T9/(AG9*X9))</f>
        <v/>
      </c>
      <c r="AL9" s="27" t="str">
        <f aca="false">IF(OR(AH9="",N(T9)=0),"",AH9/T9)</f>
        <v/>
      </c>
    </row>
    <row r="10" customFormat="false" ht="15" hidden="false" customHeight="false" outlineLevel="0" collapsed="false">
      <c r="A10" s="17" t="n">
        <v>46294</v>
      </c>
      <c r="B10" s="18" t="s">
        <v>78</v>
      </c>
      <c r="C10" s="18" t="s">
        <v>96</v>
      </c>
      <c r="D10" s="18" t="s">
        <v>61</v>
      </c>
      <c r="E10" s="0" t="n">
        <v>100</v>
      </c>
      <c r="F10" s="28" t="n">
        <f aca="false">IF(D10="","",IFERROR(INDEX(CAU_HINH_CA!$C$5:$C$50,MATCH(D10,CAU_HINH_CA!$A$5:$A$50,0)),""))</f>
        <v>8</v>
      </c>
      <c r="G10" s="18" t="n">
        <f aca="false">IF(OR(F10="",E10=""),"",ROUND(F10*E10,0))</f>
        <v>800</v>
      </c>
      <c r="H10" s="0" t="n">
        <v>95</v>
      </c>
      <c r="I10" s="0" t="n">
        <v>95</v>
      </c>
      <c r="J10" s="0" t="n">
        <v>95</v>
      </c>
      <c r="K10" s="0" t="n">
        <v>95</v>
      </c>
      <c r="L10" s="0" t="n">
        <v>95</v>
      </c>
      <c r="M10" s="0" t="n">
        <v>95</v>
      </c>
      <c r="N10" s="0" t="n">
        <v>95</v>
      </c>
      <c r="O10" s="0" t="n">
        <v>95</v>
      </c>
      <c r="T10" s="18" t="n">
        <f aca="false">IF(COUNT(H10:S10)=0,"",SUM(H10:S10))</f>
        <v>760</v>
      </c>
      <c r="U10" s="18" t="n">
        <f aca="false">IF(OR(T10="",N(G10)=0),"",T10/G10)</f>
        <v>0.95</v>
      </c>
      <c r="V10" s="18" t="n">
        <f aca="false">IF(OR(T10="",G10=""),"",T10-G10)</f>
        <v>-40</v>
      </c>
      <c r="W10" s="18" t="n">
        <f aca="false">IF(OR(T10="",G10=""),"",MAX(0,G10-T10))</f>
        <v>40</v>
      </c>
      <c r="X10" s="18" t="n">
        <f aca="false">IF(A10="","",COUNT(H10:S10))</f>
        <v>8</v>
      </c>
      <c r="Y10" s="18" t="n">
        <f aca="false">IF(OR(X10="",E10="",G10=""),"",MIN(G10,X10*E10))</f>
        <v>800</v>
      </c>
      <c r="Z10" s="18" t="n">
        <f aca="false">IF(OR(T10="",N(Y10)=0),"",T10/Y10)</f>
        <v>0.95</v>
      </c>
      <c r="AA10" s="0" t="str">
        <f aca="false">IF(OR(A10="",B10=""),"",IF(SUMPRODUCT(MAX(($B$5:$B$10004=B10)*($A$5:$A$10004&lt;A10)*$A$5:$A$10004))=0,"",SUMPRODUCT(MAX(($B$5:$B$10004=B10)*($A$5:$A$10004&lt;A10)*$A$5:$A$10004))))</f>
        <v/>
      </c>
      <c r="AB10" s="0" t="str">
        <f aca="false">IF(N(AA10)=0,"",SUMIFS($W$5:$W$10004,$B$5:$B$10004,B10,$A$5:$A$10004,AA10))</f>
        <v/>
      </c>
      <c r="AE10" s="0" t="str">
        <f aca="false">IF(OR(A10="",B10=""),"",IF(COUNTIFS($A$5:$A$10004,A10,$B$5:$B$10004,B10)&gt;1,"TRÙNG NGÀY + CHUYỀN",IF(G10="","THIẾU MÃ CA / MỤC TIÊU GIỜ",IF(SUMPRODUCT((COLUMN(H10:S10)-COLUMN(H10)+1&gt;ROUNDUP(F10,0))*(H10:S10&lt;&gt;""))&gt;0,"NHẬP QUÁ GIỜ CA",IF(AND(N(X10)&gt;=ROUNDUP(N(F10),0),N(F10)&gt;0,N(T10)&lt;N(G10),AI10=""),"CHƯA GHI LÝ DO KHÔNG ĐẠT",IF(COUNTIFS(MUC_TIEU_THANG!$B$5:$B$2004,C10,MUC_TIEU_THANG!$A$5:$A$2004,"&gt;="&amp;DATE(YEAR(A10),MONTH(A10),1),MUC_TIEU_THANG!$A$5:$A$2004,"&lt;"&amp;DATE(YEAR(A10),MONTH(A10)+1,1))=0,"CHƯA CÓ MỤC TIÊU THÁNG","OK"))))))</f>
        <v>OK</v>
      </c>
      <c r="AF10" s="0" t="str">
        <f aca="false">IF(OR(A10="",B10=""),"",B10&amp;"|"&amp;A10)</f>
        <v>Chuyền 1|46294</v>
      </c>
      <c r="AG10" s="0" t="n">
        <v>20</v>
      </c>
      <c r="AH10" s="0" t="n">
        <v>5</v>
      </c>
      <c r="AI10" s="18" t="s">
        <v>106</v>
      </c>
      <c r="AJ10" s="0" t="n">
        <v>30</v>
      </c>
      <c r="AK10" s="18" t="n">
        <f aca="false">IF(OR(T10="",N(AG10)=0,N(X10)=0),"",T10/(AG10*X10))</f>
        <v>4.75</v>
      </c>
      <c r="AL10" s="18" t="n">
        <f aca="false">IF(OR(AH10="",N(T10)=0),"",AH10/T10)</f>
        <v>0.00657894736842105</v>
      </c>
    </row>
    <row r="11" customFormat="false" ht="15" hidden="false" customHeight="false" outlineLevel="0" collapsed="false">
      <c r="A11" s="17" t="n">
        <v>46294</v>
      </c>
      <c r="B11" s="18" t="s">
        <v>80</v>
      </c>
      <c r="C11" s="18" t="s">
        <v>97</v>
      </c>
      <c r="D11" s="18" t="s">
        <v>66</v>
      </c>
      <c r="E11" s="0" t="n">
        <v>100</v>
      </c>
      <c r="F11" s="28" t="n">
        <f aca="false">IF(D11="","",IFERROR(INDEX(CAU_HINH_CA!$C$5:$C$50,MATCH(D11,CAU_HINH_CA!$A$5:$A$50,0)),""))</f>
        <v>10</v>
      </c>
      <c r="G11" s="18" t="n">
        <f aca="false">IF(OR(F11="",E11=""),"",ROUND(F11*E11,0))</f>
        <v>1000</v>
      </c>
      <c r="H11" s="0" t="n">
        <v>100</v>
      </c>
      <c r="I11" s="0" t="n">
        <v>100</v>
      </c>
      <c r="J11" s="0" t="n">
        <v>100</v>
      </c>
      <c r="K11" s="0" t="n">
        <v>100</v>
      </c>
      <c r="L11" s="0" t="n">
        <v>100</v>
      </c>
      <c r="M11" s="0" t="n">
        <v>100</v>
      </c>
      <c r="N11" s="0" t="n">
        <v>100</v>
      </c>
      <c r="O11" s="0" t="n">
        <v>100</v>
      </c>
      <c r="P11" s="0" t="n">
        <v>100</v>
      </c>
      <c r="Q11" s="0" t="n">
        <v>100</v>
      </c>
      <c r="T11" s="18" t="n">
        <f aca="false">IF(COUNT(H11:S11)=0,"",SUM(H11:S11))</f>
        <v>1000</v>
      </c>
      <c r="U11" s="18" t="n">
        <f aca="false">IF(OR(T11="",N(G11)=0),"",T11/G11)</f>
        <v>1</v>
      </c>
      <c r="V11" s="18" t="n">
        <f aca="false">IF(OR(T11="",G11=""),"",T11-G11)</f>
        <v>0</v>
      </c>
      <c r="W11" s="18" t="n">
        <f aca="false">IF(OR(T11="",G11=""),"",MAX(0,G11-T11))</f>
        <v>0</v>
      </c>
      <c r="X11" s="18" t="n">
        <f aca="false">IF(A11="","",COUNT(H11:S11))</f>
        <v>10</v>
      </c>
      <c r="Y11" s="18" t="n">
        <f aca="false">IF(OR(X11="",E11="",G11=""),"",MIN(G11,X11*E11))</f>
        <v>1000</v>
      </c>
      <c r="Z11" s="18" t="n">
        <f aca="false">IF(OR(T11="",N(Y11)=0),"",T11/Y11)</f>
        <v>1</v>
      </c>
      <c r="AA11" s="0" t="str">
        <f aca="false">IF(OR(A11="",B11=""),"",IF(SUMPRODUCT(MAX(($B$5:$B$10004=B11)*($A$5:$A$10004&lt;A11)*$A$5:$A$10004))=0,"",SUMPRODUCT(MAX(($B$5:$B$10004=B11)*($A$5:$A$10004&lt;A11)*$A$5:$A$10004))))</f>
        <v/>
      </c>
      <c r="AB11" s="0" t="str">
        <f aca="false">IF(N(AA11)=0,"",SUMIFS($W$5:$W$10004,$B$5:$B$10004,B11,$A$5:$A$10004,AA11))</f>
        <v/>
      </c>
      <c r="AE11" s="0" t="str">
        <f aca="false">IF(OR(A11="",B11=""),"",IF(COUNTIFS($A$5:$A$10004,A11,$B$5:$B$10004,B11)&gt;1,"TRÙNG NGÀY + CHUYỀN",IF(G11="","THIẾU MÃ CA / MỤC TIÊU GIỜ",IF(SUMPRODUCT((COLUMN(H11:S11)-COLUMN(H11)+1&gt;ROUNDUP(F11,0))*(H11:S11&lt;&gt;""))&gt;0,"NHẬP QUÁ GIỜ CA",IF(AND(N(X11)&gt;=ROUNDUP(N(F11),0),N(F11)&gt;0,N(T11)&lt;N(G11),AI11=""),"CHƯA GHI LÝ DO KHÔNG ĐẠT",IF(COUNTIFS(MUC_TIEU_THANG!$B$5:$B$2004,C11,MUC_TIEU_THANG!$A$5:$A$2004,"&gt;="&amp;DATE(YEAR(A11),MONTH(A11),1),MUC_TIEU_THANG!$A$5:$A$2004,"&lt;"&amp;DATE(YEAR(A11),MONTH(A11)+1,1))=0,"CHƯA CÓ MỤC TIÊU THÁNG","OK"))))))</f>
        <v>OK</v>
      </c>
      <c r="AF11" s="0" t="str">
        <f aca="false">IF(OR(A11="",B11=""),"",B11&amp;"|"&amp;A11)</f>
        <v>Chuyền 2|46294</v>
      </c>
      <c r="AG11" s="0" t="n">
        <v>25</v>
      </c>
      <c r="AH11" s="0" t="n">
        <v>3</v>
      </c>
      <c r="AK11" s="18" t="n">
        <f aca="false">IF(OR(T11="",N(AG11)=0,N(X11)=0),"",T11/(AG11*X11))</f>
        <v>4</v>
      </c>
      <c r="AL11" s="18" t="n">
        <f aca="false">IF(OR(AH11="",N(T11)=0),"",AH11/T11)</f>
        <v>0.003</v>
      </c>
    </row>
    <row r="12" customFormat="false" ht="15" hidden="false" customHeight="false" outlineLevel="0" collapsed="false">
      <c r="A12" s="17" t="n">
        <v>46296</v>
      </c>
      <c r="B12" s="18" t="s">
        <v>78</v>
      </c>
      <c r="C12" s="18" t="s">
        <v>96</v>
      </c>
      <c r="D12" s="18" t="s">
        <v>61</v>
      </c>
      <c r="E12" s="0" t="n">
        <v>100</v>
      </c>
      <c r="F12" s="28" t="n">
        <f aca="false">IF(D12="","",IFERROR(INDEX(CAU_HINH_CA!$C$5:$C$50,MATCH(D12,CAU_HINH_CA!$A$5:$A$50,0)),""))</f>
        <v>8</v>
      </c>
      <c r="G12" s="18" t="n">
        <f aca="false">IF(OR(F12="",E12=""),"",ROUND(F12*E12,0))</f>
        <v>800</v>
      </c>
      <c r="H12" s="0" t="n">
        <v>100</v>
      </c>
      <c r="I12" s="0" t="n">
        <v>100</v>
      </c>
      <c r="J12" s="0" t="n">
        <v>100</v>
      </c>
      <c r="K12" s="0" t="n">
        <v>100</v>
      </c>
      <c r="L12" s="0" t="n">
        <v>100</v>
      </c>
      <c r="M12" s="0" t="n">
        <v>100</v>
      </c>
      <c r="N12" s="0" t="n">
        <v>100</v>
      </c>
      <c r="O12" s="0" t="n">
        <v>100</v>
      </c>
      <c r="T12" s="18" t="n">
        <f aca="false">IF(COUNT(H12:S12)=0,"",SUM(H12:S12))</f>
        <v>800</v>
      </c>
      <c r="U12" s="18" t="n">
        <f aca="false">IF(OR(T12="",N(G12)=0),"",T12/G12)</f>
        <v>1</v>
      </c>
      <c r="V12" s="18" t="n">
        <f aca="false">IF(OR(T12="",G12=""),"",T12-G12)</f>
        <v>0</v>
      </c>
      <c r="W12" s="18" t="n">
        <f aca="false">IF(OR(T12="",G12=""),"",MAX(0,G12-T12))</f>
        <v>0</v>
      </c>
      <c r="X12" s="18" t="n">
        <f aca="false">IF(A12="","",COUNT(H12:S12))</f>
        <v>8</v>
      </c>
      <c r="Y12" s="18" t="n">
        <f aca="false">IF(OR(X12="",E12="",G12=""),"",MIN(G12,X12*E12))</f>
        <v>800</v>
      </c>
      <c r="Z12" s="18" t="n">
        <f aca="false">IF(OR(T12="",N(Y12)=0),"",T12/Y12)</f>
        <v>1</v>
      </c>
      <c r="AA12" s="18" t="n">
        <f aca="false">IF(OR(A12="",B12=""),"",IF(SUMPRODUCT(MAX(($B$5:$B$10004=B12)*($A$5:$A$10004&lt;A12)*$A$5:$A$10004))=0,"",SUMPRODUCT(MAX(($B$5:$B$10004=B12)*($A$5:$A$10004&lt;A12)*$A$5:$A$10004))))</f>
        <v>46295</v>
      </c>
      <c r="AB12" s="18" t="n">
        <f aca="false">IF(N(AA12)=0,"",SUMIFS($W$5:$W$10004,$B$5:$B$10004,B12,$A$5:$A$10004,AA12))</f>
        <v>500</v>
      </c>
      <c r="AE12" s="0" t="str">
        <f aca="false">IF(OR(A12="",B12=""),"",IF(COUNTIFS($A$5:$A$10004,A12,$B$5:$B$10004,B12)&gt;1,"TRÙNG NGÀY + CHUYỀN",IF(G12="","THIẾU MÃ CA / MỤC TIÊU GIỜ",IF(SUMPRODUCT((COLUMN(H12:S12)-COLUMN(H12)+1&gt;ROUNDUP(F12,0))*(H12:S12&lt;&gt;""))&gt;0,"NHẬP QUÁ GIỜ CA",IF(AND(N(X12)&gt;=ROUNDUP(N(F12),0),N(F12)&gt;0,N(T12)&lt;N(G12),AI12=""),"CHƯA GHI LÝ DO KHÔNG ĐẠT",IF(COUNTIFS(MUC_TIEU_THANG!$B$5:$B$2004,C12,MUC_TIEU_THANG!$A$5:$A$2004,"&gt;="&amp;DATE(YEAR(A12),MONTH(A12),1),MUC_TIEU_THANG!$A$5:$A$2004,"&lt;"&amp;DATE(YEAR(A12),MONTH(A12)+1,1))=0,"CHƯA CÓ MỤC TIÊU THÁNG","OK"))))))</f>
        <v>OK</v>
      </c>
      <c r="AF12" s="0" t="str">
        <f aca="false">IF(OR(A12="",B12=""),"",B12&amp;"|"&amp;A12)</f>
        <v>Chuyền 1|46296</v>
      </c>
      <c r="AG12" s="0" t="n">
        <v>20</v>
      </c>
      <c r="AH12" s="0" t="n">
        <v>4</v>
      </c>
      <c r="AK12" s="18" t="n">
        <f aca="false">IF(OR(T12="",N(AG12)=0,N(X12)=0),"",T12/(AG12*X12))</f>
        <v>5</v>
      </c>
      <c r="AL12" s="18" t="n">
        <f aca="false">IF(OR(AH12="",N(T12)=0),"",AH12/T12)</f>
        <v>0.005</v>
      </c>
    </row>
    <row r="13" customFormat="false" ht="15" hidden="false" customHeight="false" outlineLevel="0" collapsed="false">
      <c r="A13" s="17" t="n">
        <v>46296</v>
      </c>
      <c r="B13" s="18" t="s">
        <v>80</v>
      </c>
      <c r="C13" s="18" t="s">
        <v>97</v>
      </c>
      <c r="D13" s="18" t="s">
        <v>66</v>
      </c>
      <c r="E13" s="0" t="n">
        <v>100</v>
      </c>
      <c r="F13" s="28" t="n">
        <f aca="false">IF(D13="","",IFERROR(INDEX(CAU_HINH_CA!$C$5:$C$50,MATCH(D13,CAU_HINH_CA!$A$5:$A$50,0)),""))</f>
        <v>10</v>
      </c>
      <c r="G13" s="18" t="n">
        <f aca="false">IF(OR(F13="",E13=""),"",ROUND(F13*E13,0))</f>
        <v>1000</v>
      </c>
      <c r="H13" s="0" t="n">
        <v>90</v>
      </c>
      <c r="I13" s="0" t="n">
        <v>90</v>
      </c>
      <c r="J13" s="0" t="n">
        <v>90</v>
      </c>
      <c r="K13" s="0" t="n">
        <v>90</v>
      </c>
      <c r="L13" s="0" t="n">
        <v>90</v>
      </c>
      <c r="M13" s="0" t="n">
        <v>90</v>
      </c>
      <c r="N13" s="0" t="n">
        <v>90</v>
      </c>
      <c r="O13" s="0" t="n">
        <v>90</v>
      </c>
      <c r="P13" s="0" t="n">
        <v>90</v>
      </c>
      <c r="Q13" s="0" t="n">
        <v>90</v>
      </c>
      <c r="T13" s="18" t="n">
        <f aca="false">IF(COUNT(H13:S13)=0,"",SUM(H13:S13))</f>
        <v>900</v>
      </c>
      <c r="U13" s="18" t="n">
        <f aca="false">IF(OR(T13="",N(G13)=0),"",T13/G13)</f>
        <v>0.9</v>
      </c>
      <c r="V13" s="18" t="n">
        <f aca="false">IF(OR(T13="",G13=""),"",T13-G13)</f>
        <v>-100</v>
      </c>
      <c r="W13" s="18" t="n">
        <f aca="false">IF(OR(T13="",G13=""),"",MAX(0,G13-T13))</f>
        <v>100</v>
      </c>
      <c r="X13" s="18" t="n">
        <f aca="false">IF(A13="","",COUNT(H13:S13))</f>
        <v>10</v>
      </c>
      <c r="Y13" s="18" t="n">
        <f aca="false">IF(OR(X13="",E13="",G13=""),"",MIN(G13,X13*E13))</f>
        <v>1000</v>
      </c>
      <c r="Z13" s="18" t="n">
        <f aca="false">IF(OR(T13="",N(Y13)=0),"",T13/Y13)</f>
        <v>0.9</v>
      </c>
      <c r="AA13" s="18" t="n">
        <f aca="false">IF(OR(A13="",B13=""),"",IF(SUMPRODUCT(MAX(($B$5:$B$10004=B13)*($A$5:$A$10004&lt;A13)*$A$5:$A$10004))=0,"",SUMPRODUCT(MAX(($B$5:$B$10004=B13)*($A$5:$A$10004&lt;A13)*$A$5:$A$10004))))</f>
        <v>46295</v>
      </c>
      <c r="AB13" s="18" t="n">
        <f aca="false">IF(N(AA13)=0,"",SUMIFS($W$5:$W$10004,$B$5:$B$10004,B13,$A$5:$A$10004,AA13))</f>
        <v>800</v>
      </c>
      <c r="AE13" s="0" t="str">
        <f aca="false">IF(OR(A13="",B13=""),"",IF(COUNTIFS($A$5:$A$10004,A13,$B$5:$B$10004,B13)&gt;1,"TRÙNG NGÀY + CHUYỀN",IF(G13="","THIẾU MÃ CA / MỤC TIÊU GIỜ",IF(SUMPRODUCT((COLUMN(H13:S13)-COLUMN(H13)+1&gt;ROUNDUP(F13,0))*(H13:S13&lt;&gt;""))&gt;0,"NHẬP QUÁ GIỜ CA",IF(AND(N(X13)&gt;=ROUNDUP(N(F13),0),N(F13)&gt;0,N(T13)&lt;N(G13),AI13=""),"CHƯA GHI LÝ DO KHÔNG ĐẠT",IF(COUNTIFS(MUC_TIEU_THANG!$B$5:$B$2004,C13,MUC_TIEU_THANG!$A$5:$A$2004,"&gt;="&amp;DATE(YEAR(A13),MONTH(A13),1),MUC_TIEU_THANG!$A$5:$A$2004,"&lt;"&amp;DATE(YEAR(A13),MONTH(A13)+1,1))=0,"CHƯA CÓ MỤC TIÊU THÁNG","OK"))))))</f>
        <v>OK</v>
      </c>
      <c r="AF13" s="0" t="str">
        <f aca="false">IF(OR(A13="",B13=""),"",B13&amp;"|"&amp;A13)</f>
        <v>Chuyền 2|46296</v>
      </c>
      <c r="AG13" s="0" t="n">
        <v>25</v>
      </c>
      <c r="AH13" s="0" t="n">
        <v>10</v>
      </c>
      <c r="AI13" s="18" t="s">
        <v>107</v>
      </c>
      <c r="AJ13" s="0" t="n">
        <v>45</v>
      </c>
      <c r="AK13" s="18" t="n">
        <f aca="false">IF(OR(T13="",N(AG13)=0,N(X13)=0),"",T13/(AG13*X13))</f>
        <v>3.6</v>
      </c>
      <c r="AL13" s="18" t="n">
        <f aca="false">IF(OR(AH13="",N(T13)=0),"",AH13/T13)</f>
        <v>0.0111111111111111</v>
      </c>
    </row>
    <row r="14" customFormat="false" ht="15" hidden="false" customHeight="false" outlineLevel="0" collapsed="false">
      <c r="A14" s="17" t="n">
        <v>46296</v>
      </c>
      <c r="B14" s="18" t="s">
        <v>82</v>
      </c>
      <c r="C14" s="18" t="s">
        <v>98</v>
      </c>
      <c r="D14" s="18" t="s">
        <v>68</v>
      </c>
      <c r="E14" s="0" t="n">
        <v>185</v>
      </c>
      <c r="F14" s="28" t="n">
        <f aca="false">IF(D14="","",IFERROR(INDEX(CAU_HINH_CA!$C$5:$C$50,MATCH(D14,CAU_HINH_CA!$A$5:$A$50,0)),""))</f>
        <v>11.5</v>
      </c>
      <c r="G14" s="18" t="n">
        <f aca="false">IF(OR(F14="",E14=""),"",ROUND(F14*E14,0))</f>
        <v>2128</v>
      </c>
      <c r="H14" s="0" t="n">
        <v>185</v>
      </c>
      <c r="I14" s="0" t="n">
        <v>185</v>
      </c>
      <c r="J14" s="0" t="n">
        <v>185</v>
      </c>
      <c r="K14" s="0" t="n">
        <v>185</v>
      </c>
      <c r="L14" s="0" t="n">
        <v>185</v>
      </c>
      <c r="M14" s="0" t="n">
        <v>185</v>
      </c>
      <c r="N14" s="0" t="n">
        <v>185</v>
      </c>
      <c r="O14" s="0" t="n">
        <v>185</v>
      </c>
      <c r="P14" s="0" t="n">
        <v>185</v>
      </c>
      <c r="Q14" s="0" t="n">
        <v>185</v>
      </c>
      <c r="R14" s="0" t="n">
        <v>185</v>
      </c>
      <c r="T14" s="18" t="n">
        <f aca="false">IF(COUNT(H14:S14)=0,"",SUM(H14:S14))</f>
        <v>2035</v>
      </c>
      <c r="U14" s="18" t="n">
        <f aca="false">IF(OR(T14="",N(G14)=0),"",T14/G14)</f>
        <v>0.956296992481203</v>
      </c>
      <c r="V14" s="18" t="n">
        <f aca="false">IF(OR(T14="",G14=""),"",T14-G14)</f>
        <v>-93</v>
      </c>
      <c r="W14" s="18" t="n">
        <f aca="false">IF(OR(T14="",G14=""),"",MAX(0,G14-T14))</f>
        <v>93</v>
      </c>
      <c r="X14" s="18" t="n">
        <f aca="false">IF(A14="","",COUNT(H14:S14))</f>
        <v>11</v>
      </c>
      <c r="Y14" s="18" t="n">
        <f aca="false">IF(OR(X14="",E14="",G14=""),"",MIN(G14,X14*E14))</f>
        <v>2035</v>
      </c>
      <c r="Z14" s="18" t="n">
        <f aca="false">IF(OR(T14="",N(Y14)=0),"",T14/Y14)</f>
        <v>1</v>
      </c>
      <c r="AA14" s="18" t="n">
        <f aca="false">IF(OR(A14="",B14=""),"",IF(SUMPRODUCT(MAX(($B$5:$B$10004=B14)*($A$5:$A$10004&lt;A14)*$A$5:$A$10004))=0,"",SUMPRODUCT(MAX(($B$5:$B$10004=B14)*($A$5:$A$10004&lt;A14)*$A$5:$A$10004))))</f>
        <v>46295</v>
      </c>
      <c r="AB14" s="18" t="n">
        <f aca="false">IF(N(AA14)=0,"",SUMIFS($W$5:$W$10004,$B$5:$B$10004,B14,$A$5:$A$10004,AA14))</f>
        <v>1403</v>
      </c>
      <c r="AE14" s="0" t="str">
        <f aca="false">IF(OR(A14="",B14=""),"",IF(COUNTIFS($A$5:$A$10004,A14,$B$5:$B$10004,B14)&gt;1,"TRÙNG NGÀY + CHUYỀN",IF(G14="","THIẾU MÃ CA / MỤC TIÊU GIỜ",IF(SUMPRODUCT((COLUMN(H14:S14)-COLUMN(H14)+1&gt;ROUNDUP(F14,0))*(H14:S14&lt;&gt;""))&gt;0,"NHẬP QUÁ GIỜ CA",IF(AND(N(X14)&gt;=ROUNDUP(N(F14),0),N(F14)&gt;0,N(T14)&lt;N(G14),AI14=""),"CHƯA GHI LÝ DO KHÔNG ĐẠT",IF(COUNTIFS(MUC_TIEU_THANG!$B$5:$B$2004,C14,MUC_TIEU_THANG!$A$5:$A$2004,"&gt;="&amp;DATE(YEAR(A14),MONTH(A14),1),MUC_TIEU_THANG!$A$5:$A$2004,"&lt;"&amp;DATE(YEAR(A14),MONTH(A14)+1,1))=0,"CHƯA CÓ MỤC TIÊU THÁNG","OK"))))))</f>
        <v>OK</v>
      </c>
      <c r="AF14" s="0" t="str">
        <f aca="false">IF(OR(A14="",B14=""),"",B14&amp;"|"&amp;A14)</f>
        <v>Chuyền 3|46296</v>
      </c>
      <c r="AG14" s="0" t="n">
        <v>30</v>
      </c>
      <c r="AH14" s="0" t="n">
        <v>2</v>
      </c>
      <c r="AK14" s="18" t="n">
        <f aca="false">IF(OR(T14="",N(AG14)=0,N(X14)=0),"",T14/(AG14*X14))</f>
        <v>6.16666666666667</v>
      </c>
      <c r="AL14" s="18" t="n">
        <f aca="false">IF(OR(AH14="",N(T14)=0),"",AH14/T14)</f>
        <v>0.000982800982800983</v>
      </c>
    </row>
    <row r="15" customFormat="false" ht="15" hidden="false" customHeight="false" outlineLevel="0" collapsed="false">
      <c r="A15" s="17" t="n">
        <v>46297</v>
      </c>
      <c r="B15" s="18" t="s">
        <v>78</v>
      </c>
      <c r="C15" s="18" t="s">
        <v>96</v>
      </c>
      <c r="D15" s="18" t="s">
        <v>61</v>
      </c>
      <c r="E15" s="0" t="n">
        <v>100</v>
      </c>
      <c r="F15" s="28" t="n">
        <f aca="false">IF(D15="","",IFERROR(INDEX(CAU_HINH_CA!$C$5:$C$50,MATCH(D15,CAU_HINH_CA!$A$5:$A$50,0)),""))</f>
        <v>8</v>
      </c>
      <c r="G15" s="18" t="n">
        <f aca="false">IF(OR(F15="",E15=""),"",ROUND(F15*E15,0))</f>
        <v>800</v>
      </c>
      <c r="H15" s="0" t="n">
        <v>100</v>
      </c>
      <c r="I15" s="0" t="n">
        <v>100</v>
      </c>
      <c r="T15" s="18" t="n">
        <f aca="false">IF(COUNT(H15:S15)=0,"",SUM(H15:S15))</f>
        <v>200</v>
      </c>
      <c r="U15" s="18" t="n">
        <f aca="false">IF(OR(T15="",N(G15)=0),"",T15/G15)</f>
        <v>0.25</v>
      </c>
      <c r="V15" s="18" t="n">
        <f aca="false">IF(OR(T15="",G15=""),"",T15-G15)</f>
        <v>-600</v>
      </c>
      <c r="W15" s="18" t="n">
        <f aca="false">IF(OR(T15="",G15=""),"",MAX(0,G15-T15))</f>
        <v>600</v>
      </c>
      <c r="X15" s="18" t="n">
        <f aca="false">IF(A15="","",COUNT(H15:S15))</f>
        <v>2</v>
      </c>
      <c r="Y15" s="18" t="n">
        <f aca="false">IF(OR(X15="",E15="",G15=""),"",MIN(G15,X15*E15))</f>
        <v>200</v>
      </c>
      <c r="Z15" s="18" t="n">
        <f aca="false">IF(OR(T15="",N(Y15)=0),"",T15/Y15)</f>
        <v>1</v>
      </c>
      <c r="AA15" s="18" t="n">
        <f aca="false">IF(OR(A15="",B15=""),"",IF(SUMPRODUCT(MAX(($B$5:$B$10004=B15)*($A$5:$A$10004&lt;A15)*$A$5:$A$10004))=0,"",SUMPRODUCT(MAX(($B$5:$B$10004=B15)*($A$5:$A$10004&lt;A15)*$A$5:$A$10004))))</f>
        <v>46296</v>
      </c>
      <c r="AB15" s="18" t="n">
        <f aca="false">IF(N(AA15)=0,"",SUMIFS($W$5:$W$10004,$B$5:$B$10004,B15,$A$5:$A$10004,AA15))</f>
        <v>0</v>
      </c>
      <c r="AE15" s="0" t="str">
        <f aca="false">IF(OR(A15="",B15=""),"",IF(COUNTIFS($A$5:$A$10004,A15,$B$5:$B$10004,B15)&gt;1,"TRÙNG NGÀY + CHUYỀN",IF(G15="","THIẾU MÃ CA / MỤC TIÊU GIỜ",IF(SUMPRODUCT((COLUMN(H15:S15)-COLUMN(H15)+1&gt;ROUNDUP(F15,0))*(H15:S15&lt;&gt;""))&gt;0,"NHẬP QUÁ GIỜ CA",IF(AND(N(X15)&gt;=ROUNDUP(N(F15),0),N(F15)&gt;0,N(T15)&lt;N(G15),AI15=""),"CHƯA GHI LÝ DO KHÔNG ĐẠT",IF(COUNTIFS(MUC_TIEU_THANG!$B$5:$B$2004,C15,MUC_TIEU_THANG!$A$5:$A$2004,"&gt;="&amp;DATE(YEAR(A15),MONTH(A15),1),MUC_TIEU_THANG!$A$5:$A$2004,"&lt;"&amp;DATE(YEAR(A15),MONTH(A15)+1,1))=0,"CHƯA CÓ MỤC TIÊU THÁNG","OK"))))))</f>
        <v>OK</v>
      </c>
      <c r="AF15" s="0" t="str">
        <f aca="false">IF(OR(A15="",B15=""),"",B15&amp;"|"&amp;A15)</f>
        <v>Chuyền 1|46297</v>
      </c>
      <c r="AG15" s="0" t="n">
        <v>20</v>
      </c>
      <c r="AK15" s="18" t="n">
        <f aca="false">IF(OR(T15="",N(AG15)=0,N(X15)=0),"",T15/(AG15*X15))</f>
        <v>5</v>
      </c>
      <c r="AL15" s="0" t="str">
        <f aca="false">IF(OR(AH15="",N(T15)=0),"",AH15/T15)</f>
        <v/>
      </c>
    </row>
    <row r="16" customFormat="false" ht="15" hidden="false" customHeight="false" outlineLevel="0" collapsed="false">
      <c r="A16" s="17" t="n">
        <v>46297</v>
      </c>
      <c r="B16" s="18" t="s">
        <v>80</v>
      </c>
      <c r="C16" s="18" t="s">
        <v>97</v>
      </c>
      <c r="D16" s="18" t="s">
        <v>66</v>
      </c>
      <c r="E16" s="0" t="n">
        <v>100</v>
      </c>
      <c r="F16" s="28" t="n">
        <f aca="false">IF(D16="","",IFERROR(INDEX(CAU_HINH_CA!$C$5:$C$50,MATCH(D16,CAU_HINH_CA!$A$5:$A$50,0)),""))</f>
        <v>10</v>
      </c>
      <c r="G16" s="18" t="n">
        <f aca="false">IF(OR(F16="",E16=""),"",ROUND(F16*E16,0))</f>
        <v>1000</v>
      </c>
      <c r="H16" s="0" t="n">
        <v>80</v>
      </c>
      <c r="I16" s="0" t="n">
        <v>80</v>
      </c>
      <c r="J16" s="0" t="n">
        <v>80</v>
      </c>
      <c r="T16" s="18" t="n">
        <f aca="false">IF(COUNT(H16:S16)=0,"",SUM(H16:S16))</f>
        <v>240</v>
      </c>
      <c r="U16" s="18" t="n">
        <f aca="false">IF(OR(T16="",N(G16)=0),"",T16/G16)</f>
        <v>0.24</v>
      </c>
      <c r="V16" s="18" t="n">
        <f aca="false">IF(OR(T16="",G16=""),"",T16-G16)</f>
        <v>-760</v>
      </c>
      <c r="W16" s="18" t="n">
        <f aca="false">IF(OR(T16="",G16=""),"",MAX(0,G16-T16))</f>
        <v>760</v>
      </c>
      <c r="X16" s="18" t="n">
        <f aca="false">IF(A16="","",COUNT(H16:S16))</f>
        <v>3</v>
      </c>
      <c r="Y16" s="18" t="n">
        <f aca="false">IF(OR(X16="",E16="",G16=""),"",MIN(G16,X16*E16))</f>
        <v>300</v>
      </c>
      <c r="Z16" s="18" t="n">
        <f aca="false">IF(OR(T16="",N(Y16)=0),"",T16/Y16)</f>
        <v>0.8</v>
      </c>
      <c r="AA16" s="18" t="n">
        <f aca="false">IF(OR(A16="",B16=""),"",IF(SUMPRODUCT(MAX(($B$5:$B$10004=B16)*($A$5:$A$10004&lt;A16)*$A$5:$A$10004))=0,"",SUMPRODUCT(MAX(($B$5:$B$10004=B16)*($A$5:$A$10004&lt;A16)*$A$5:$A$10004))))</f>
        <v>46296</v>
      </c>
      <c r="AB16" s="18" t="n">
        <f aca="false">IF(N(AA16)=0,"",SUMIFS($W$5:$W$10004,$B$5:$B$10004,B16,$A$5:$A$10004,AA16))</f>
        <v>100</v>
      </c>
      <c r="AE16" s="0" t="str">
        <f aca="false">IF(OR(A16="",B16=""),"",IF(COUNTIFS($A$5:$A$10004,A16,$B$5:$B$10004,B16)&gt;1,"TRÙNG NGÀY + CHUYỀN",IF(G16="","THIẾU MÃ CA / MỤC TIÊU GIỜ",IF(SUMPRODUCT((COLUMN(H16:S16)-COLUMN(H16)+1&gt;ROUNDUP(F16,0))*(H16:S16&lt;&gt;""))&gt;0,"NHẬP QUÁ GIỜ CA",IF(AND(N(X16)&gt;=ROUNDUP(N(F16),0),N(F16)&gt;0,N(T16)&lt;N(G16),AI16=""),"CHƯA GHI LÝ DO KHÔNG ĐẠT",IF(COUNTIFS(MUC_TIEU_THANG!$B$5:$B$2004,C16,MUC_TIEU_THANG!$A$5:$A$2004,"&gt;="&amp;DATE(YEAR(A16),MONTH(A16),1),MUC_TIEU_THANG!$A$5:$A$2004,"&lt;"&amp;DATE(YEAR(A16),MONTH(A16)+1,1))=0,"CHƯA CÓ MỤC TIÊU THÁNG","OK"))))))</f>
        <v>OK</v>
      </c>
      <c r="AF16" s="0" t="str">
        <f aca="false">IF(OR(A16="",B16=""),"",B16&amp;"|"&amp;A16)</f>
        <v>Chuyền 2|46297</v>
      </c>
      <c r="AG16" s="0" t="n">
        <v>25</v>
      </c>
      <c r="AH16" s="0" t="n">
        <v>1</v>
      </c>
      <c r="AK16" s="18" t="n">
        <f aca="false">IF(OR(T16="",N(AG16)=0,N(X16)=0),"",T16/(AG16*X16))</f>
        <v>3.2</v>
      </c>
      <c r="AL16" s="18" t="n">
        <f aca="false">IF(OR(AH16="",N(T16)=0),"",AH16/T16)</f>
        <v>0.00416666666666667</v>
      </c>
    </row>
    <row r="17" customFormat="false" ht="15" hidden="false" customHeight="false" outlineLevel="0" collapsed="false">
      <c r="A17" s="17" t="n">
        <v>46296</v>
      </c>
      <c r="B17" s="18" t="s">
        <v>88</v>
      </c>
      <c r="C17" s="18" t="s">
        <v>99</v>
      </c>
      <c r="D17" s="18" t="s">
        <v>66</v>
      </c>
      <c r="E17" s="0" t="n">
        <v>40</v>
      </c>
      <c r="F17" s="28" t="n">
        <f aca="false">IF(D17="","",IFERROR(INDEX(CAU_HINH_CA!$C$5:$C$50,MATCH(D17,CAU_HINH_CA!$A$5:$A$50,0)),""))</f>
        <v>10</v>
      </c>
      <c r="G17" s="18" t="n">
        <f aca="false">IF(OR(F17="",E17=""),"",ROUND(F17*E17,0))</f>
        <v>400</v>
      </c>
      <c r="H17" s="0" t="n">
        <v>30</v>
      </c>
      <c r="I17" s="0" t="n">
        <v>30</v>
      </c>
      <c r="J17" s="0" t="n">
        <v>30</v>
      </c>
      <c r="K17" s="0" t="n">
        <v>30</v>
      </c>
      <c r="L17" s="0" t="n">
        <v>30</v>
      </c>
      <c r="M17" s="0" t="n">
        <v>30</v>
      </c>
      <c r="N17" s="0" t="n">
        <v>30</v>
      </c>
      <c r="O17" s="0" t="n">
        <v>30</v>
      </c>
      <c r="P17" s="0" t="n">
        <v>30</v>
      </c>
      <c r="Q17" s="0" t="n">
        <v>30</v>
      </c>
      <c r="T17" s="18" t="n">
        <f aca="false">IF(COUNT(H17:S17)=0,"",SUM(H17:S17))</f>
        <v>300</v>
      </c>
      <c r="U17" s="18" t="n">
        <f aca="false">IF(OR(T17="",N(G17)=0),"",T17/G17)</f>
        <v>0.75</v>
      </c>
      <c r="V17" s="18" t="n">
        <f aca="false">IF(OR(T17="",G17=""),"",T17-G17)</f>
        <v>-100</v>
      </c>
      <c r="W17" s="18" t="n">
        <f aca="false">IF(OR(T17="",G17=""),"",MAX(0,G17-T17))</f>
        <v>100</v>
      </c>
      <c r="X17" s="18" t="n">
        <f aca="false">IF(A17="","",COUNT(H17:S17))</f>
        <v>10</v>
      </c>
      <c r="Y17" s="18" t="n">
        <f aca="false">IF(OR(X17="",E17="",G17=""),"",MIN(G17,X17*E17))</f>
        <v>400</v>
      </c>
      <c r="Z17" s="18" t="n">
        <f aca="false">IF(OR(T17="",N(Y17)=0),"",T17/Y17)</f>
        <v>0.75</v>
      </c>
      <c r="AA17" s="18" t="n">
        <f aca="false">IF(OR(A17="",B17=""),"",IF(SUMPRODUCT(MAX(($B$5:$B$10004=B17)*($A$5:$A$10004&lt;A17)*$A$5:$A$10004))=0,"",SUMPRODUCT(MAX(($B$5:$B$10004=B17)*($A$5:$A$10004&lt;A17)*$A$5:$A$10004))))</f>
        <v>46295</v>
      </c>
      <c r="AB17" s="18" t="n">
        <f aca="false">IF(N(AA17)=0,"",SUMIFS($W$5:$W$10004,$B$5:$B$10004,B17,$A$5:$A$10004,AA17))</f>
        <v>200</v>
      </c>
      <c r="AE17" s="0" t="str">
        <f aca="false">IF(OR(A17="",B17=""),"",IF(COUNTIFS($A$5:$A$10004,A17,$B$5:$B$10004,B17)&gt;1,"TRÙNG NGÀY + CHUYỀN",IF(G17="","THIẾU MÃ CA / MỤC TIÊU GIỜ",IF(SUMPRODUCT((COLUMN(H17:S17)-COLUMN(H17)+1&gt;ROUNDUP(F17,0))*(H17:S17&lt;&gt;""))&gt;0,"NHẬP QUÁ GIỜ CA",IF(AND(N(X17)&gt;=ROUNDUP(N(F17),0),N(F17)&gt;0,N(T17)&lt;N(G17),AI17=""),"CHƯA GHI LÝ DO KHÔNG ĐẠT",IF(COUNTIFS(MUC_TIEU_THANG!$B$5:$B$2004,C17,MUC_TIEU_THANG!$A$5:$A$2004,"&gt;="&amp;DATE(YEAR(A17),MONTH(A17),1),MUC_TIEU_THANG!$A$5:$A$2004,"&lt;"&amp;DATE(YEAR(A17),MONTH(A17)+1,1))=0,"CHƯA CÓ MỤC TIÊU THÁNG","OK"))))))</f>
        <v>CHƯA GHI LÝ DO KHÔNG ĐẠT</v>
      </c>
      <c r="AF17" s="0" t="str">
        <f aca="false">IF(OR(A17="",B17=""),"",B17&amp;"|"&amp;A17)</f>
        <v>Chuyền 6|46296</v>
      </c>
      <c r="AG17" s="0" t="n">
        <v>8</v>
      </c>
      <c r="AK17" s="18" t="n">
        <f aca="false">IF(OR(T17="",N(AG17)=0,N(X17)=0),"",T17/(AG17*X17))</f>
        <v>3.75</v>
      </c>
      <c r="AL17" s="0" t="str">
        <f aca="false">IF(OR(AH17="",N(T17)=0),"",AH17/T17)</f>
        <v/>
      </c>
    </row>
  </sheetData>
  <mergeCells count="1">
    <mergeCell ref="A1:H1"/>
  </mergeCells>
  <conditionalFormatting sqref="A5:AL9">
    <cfRule type="expression" priority="2" aboveAverage="0" equalAverage="0" bottom="0" percent="0" rank="0" text="" dxfId="7">
      <formula>AND($A5&lt;&gt;"",$B5&lt;&gt;"",COUNTIFS($A$5:$A$10004,$A5,$B$5:$B$10004,$B5)&gt;1)</formula>
    </cfRule>
  </conditionalFormatting>
  <conditionalFormatting sqref="H5:S9">
    <cfRule type="expression" priority="3" aboveAverage="0" equalAverage="0" bottom="0" percent="0" rank="0" text="" dxfId="8">
      <formula>AND(H5&lt;&gt;"",COLUMN(H5)-COLUMN($H5)+1&gt;ROUNDUP(IFERROR(INDEX(CAU_HINH_CA!$C$5:$C$50,MATCH($D5,CAU_HINH_CA!$A$5:$A$50,0)),99),0))</formula>
    </cfRule>
  </conditionalFormatting>
  <conditionalFormatting sqref="AE5:AE9">
    <cfRule type="expression" priority="4" aboveAverage="0" equalAverage="0" bottom="0" percent="0" rank="0" text="" dxfId="7">
      <formula>AND(AE5&lt;&gt;"",AE5&lt;&gt;"OK")</formula>
    </cfRule>
  </conditionalFormatting>
  <conditionalFormatting sqref="U5:U9">
    <cfRule type="expression" priority="5" aboveAverage="0" equalAverage="0" bottom="0" percent="0" rank="0" text="" dxfId="9">
      <formula>AND(ISNUMBER(U5),U5&lt;1)</formula>
    </cfRule>
    <cfRule type="expression" priority="6" aboveAverage="0" equalAverage="0" bottom="0" percent="0" rank="0" text="" dxfId="10">
      <formula>AND(ISNUMBER(U5),U5&gt;=1)</formula>
    </cfRule>
  </conditionalFormatting>
  <conditionalFormatting sqref="Z5:Z9">
    <cfRule type="expression" priority="7" aboveAverage="0" equalAverage="0" bottom="0" percent="0" rank="0" text="" dxfId="9">
      <formula>AND(ISNUMBER(Z5),Z5&lt;1)</formula>
    </cfRule>
    <cfRule type="expression" priority="8" aboveAverage="0" equalAverage="0" bottom="0" percent="0" rank="0" text="" dxfId="10">
      <formula>AND(ISNUMBER(Z5),Z5&gt;=1)</formula>
    </cfRule>
  </conditionalFormatting>
  <conditionalFormatting sqref="AB5:AB9">
    <cfRule type="expression" priority="9" aboveAverage="0" equalAverage="0" bottom="0" percent="0" rank="0" text="" dxfId="9">
      <formula>AND(ISNUMBER(AB5),AB5&gt;0)</formula>
    </cfRule>
  </conditionalFormatting>
  <dataValidations count="7">
    <dataValidation allowBlank="true" error="Chọn giá trị trong danh sách." errorStyle="stop" errorTitle="Sai dữ liệu" operator="between" showDropDown="false" showErrorMessage="true" showInputMessage="false" sqref="B5:B9" type="list">
      <formula1>DS_CHUYEN</formula1>
      <formula2>0</formula2>
    </dataValidation>
    <dataValidation allowBlank="true" error="Mã sản phẩm phải có trong sheet DANH_SACH_SAN_PHAM." errorStyle="stop" errorTitle="Sai dữ liệu" operator="between" showDropDown="false" showErrorMessage="true" showInputMessage="false" sqref="C5:C9" type="list">
      <formula1>DS_MA_SAN_PHAM</formula1>
      <formula2>0</formula2>
    </dataValidation>
    <dataValidation allowBlank="true" error="Chọn giá trị trong danh sách." errorStyle="stop" errorTitle="Sai dữ liệu" operator="between" showDropDown="false" showErrorMessage="true" showInputMessage="false" sqref="D5:D9" type="list">
      <formula1>DS_MA_CA</formula1>
      <formula2>0</formula2>
    </dataValidation>
    <dataValidation allowBlank="true" error="Chọn giá trị trong danh sách." errorStyle="stop" errorTitle="Sai dữ liệu" operator="between" showDropDown="false" showErrorMessage="true" showInputMessage="false" sqref="AC5:AC9" type="list">
      <formula1>"Chưa chạy,Đang chạy,Hoàn thành,Tạm dừng"</formula1>
      <formula2>0</formula2>
    </dataValidation>
    <dataValidation allowBlank="true" error="Nhập ngày dạng dd/mm/yyyy." errorStyle="stop" operator="greaterThan" showDropDown="false" showErrorMessage="true" showInputMessage="false" sqref="A5:A9" type="date">
      <formula1>DATE(2020,1,1)</formula1>
      <formula2>0</formula2>
    </dataValidation>
    <dataValidation allowBlank="true" error="Nhập số nguyên ≥ 0." errorStyle="stop" operator="greaterThanOrEqual" showDropDown="false" showErrorMessage="true" showInputMessage="false" sqref="E5:E9 H5:S9 AG5:AH9 AJ5:AJ9" type="whole">
      <formula1>0</formula1>
      <formula2>0</formula2>
    </dataValidation>
    <dataValidation allowBlank="true" error="Chọn lý do trong sheet DANH_SACH_LY_DO." errorStyle="stop" errorTitle="Sai dữ liệu" operator="between" showDropDown="false" showErrorMessage="true" showInputMessage="false" sqref="AI5:AI9" type="list">
      <formula1>DS_LY_DO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6" t="s">
        <v>218</v>
      </c>
      <c r="B1" s="6"/>
      <c r="C1" s="6"/>
      <c r="D1" s="6"/>
      <c r="E1" s="6"/>
      <c r="F1" s="6"/>
      <c r="G1" s="6"/>
      <c r="H1" s="6"/>
    </row>
    <row r="2" customFormat="false" ht="27.75" hidden="false" customHeight="true" outlineLevel="0" collapsed="false">
      <c r="A2" s="7" t="s">
        <v>219</v>
      </c>
      <c r="B2" s="7" t="s">
        <v>90</v>
      </c>
      <c r="C2" s="7" t="s">
        <v>220</v>
      </c>
      <c r="D2" s="7" t="s">
        <v>92</v>
      </c>
      <c r="E2" s="7" t="s">
        <v>221</v>
      </c>
      <c r="F2" s="7" t="s">
        <v>222</v>
      </c>
      <c r="G2" s="7" t="s">
        <v>223</v>
      </c>
      <c r="H2" s="7" t="s">
        <v>142</v>
      </c>
      <c r="I2" s="7" t="s">
        <v>224</v>
      </c>
      <c r="J2" s="7" t="s">
        <v>225</v>
      </c>
      <c r="K2" s="7" t="s">
        <v>226</v>
      </c>
      <c r="L2" s="7" t="s">
        <v>227</v>
      </c>
      <c r="M2" s="7" t="s">
        <v>228</v>
      </c>
    </row>
    <row r="3" customFormat="false" ht="37.5" hidden="false" customHeight="true" outlineLevel="0" collapsed="false">
      <c r="A3" s="8" t="s">
        <v>229</v>
      </c>
      <c r="B3" s="8" t="s">
        <v>93</v>
      </c>
      <c r="C3" s="8" t="s">
        <v>230</v>
      </c>
      <c r="D3" s="8" t="s">
        <v>95</v>
      </c>
      <c r="E3" s="9" t="s">
        <v>231</v>
      </c>
      <c r="F3" s="9" t="s">
        <v>232</v>
      </c>
      <c r="G3" s="9" t="s">
        <v>233</v>
      </c>
      <c r="H3" s="9" t="s">
        <v>234</v>
      </c>
      <c r="I3" s="9" t="s">
        <v>235</v>
      </c>
      <c r="J3" s="9" t="s">
        <v>236</v>
      </c>
      <c r="K3" s="9" t="s">
        <v>237</v>
      </c>
      <c r="L3" s="9" t="s">
        <v>238</v>
      </c>
      <c r="M3" s="9" t="s">
        <v>239</v>
      </c>
    </row>
    <row r="4" customFormat="false" ht="15" hidden="false" customHeight="false" outlineLevel="0" collapsed="false">
      <c r="A4" s="10" t="s">
        <v>51</v>
      </c>
      <c r="B4" s="10" t="s">
        <v>52</v>
      </c>
      <c r="C4" s="10" t="s">
        <v>53</v>
      </c>
      <c r="D4" s="10" t="s">
        <v>54</v>
      </c>
      <c r="E4" s="10" t="s">
        <v>55</v>
      </c>
      <c r="F4" s="10" t="s">
        <v>56</v>
      </c>
      <c r="G4" s="10" t="s">
        <v>57</v>
      </c>
      <c r="H4" s="10" t="s">
        <v>58</v>
      </c>
      <c r="I4" s="10" t="s">
        <v>59</v>
      </c>
      <c r="J4" s="10" t="s">
        <v>60</v>
      </c>
      <c r="K4" s="10" t="s">
        <v>189</v>
      </c>
      <c r="L4" s="10" t="s">
        <v>190</v>
      </c>
      <c r="M4" s="10" t="s">
        <v>191</v>
      </c>
    </row>
    <row r="5" customFormat="false" ht="15" hidden="false" customHeight="false" outlineLevel="0" collapsed="false">
      <c r="A5" s="29" t="n">
        <v>46266</v>
      </c>
      <c r="B5" s="11" t="s">
        <v>96</v>
      </c>
      <c r="C5" s="19" t="n">
        <v>40000</v>
      </c>
      <c r="D5" s="12"/>
      <c r="E5" s="20" t="n">
        <f aca="false">IF(OR(A5="",B5=""),"",SUMPRODUCT((NHAP_LIEU!$C$5:$C$10004=B5)*(NHAP_LIEU!$A$5:$A$10004&gt;=DATE(YEAR(A5),MONTH(A5),1))*(NHAP_LIEU!$A$5:$A$10004&lt;DATE(YEAR(A5),MONTH(A5)+1,1))*NHAP_LIEU!$H$5:$S$10004))</f>
        <v>1060</v>
      </c>
      <c r="F5" s="22" t="n">
        <f aca="false">IF(OR(E5="",C5=""),"",E5-C5)</f>
        <v>-38940</v>
      </c>
      <c r="G5" s="21" t="n">
        <f aca="false">IF(OR(E5="",N(C5)=0),"",E5/C5)</f>
        <v>0.0265</v>
      </c>
      <c r="H5" s="20" t="n">
        <f aca="false">IF(OR(E5="",C5=""),"",MAX(0,C5-E5))</f>
        <v>38940</v>
      </c>
      <c r="I5" s="20" t="n">
        <f aca="false">IF(OR(A5="",B5=""),"",SUMPRODUCT((NHAP_LIEU!$C$5:$C$10004=B5)*(NHAP_LIEU!$A$5:$A$10004&gt;=DATE(YEAR(A5),MONTH(A5),1))*(NHAP_LIEU!$A$5:$A$10004&lt;DATE(YEAR(A5),MONTH(A5)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1600</v>
      </c>
      <c r="J5" s="22" t="n">
        <f aca="false">IF(I5="","",E5-I5)</f>
        <v>-540</v>
      </c>
      <c r="K5" s="20" t="n">
        <f aca="false">IF(OR(A5="",B5=""),"",SUMIFS($H$5:$H$2004,$B$5:$B$2004,B5,$A$5:$A$2004,"&gt;="&amp;DATE(YEAR(A5),MONTH(A5)-1,1),$A$5:$A$2004,"&lt;"&amp;DATE(YEAR(A5),MONTH(A5),1)))</f>
        <v>0</v>
      </c>
      <c r="L5" s="23" t="n">
        <f aca="false">IF(A5="","",MAX(0,NETWORKDAYS.INTL(DATE(YEAR(A5),MONTH(A5),1),EOMONTH(A5,0),11)-SUMPRODUCT((LICH_LAM_VIEC!$A$5:$A$1000&gt;=DATE(YEAR(A5),MONTH(A5),1))*(LICH_LAM_VIEC!$A$5:$A$1000&lt;=EOMONTH(A5,0))*(LICH_LAM_VIEC!$B$5:$B$1000="Nghỉ")*(WEEKDAY(LICH_LAM_VIEC!$A$5:$A$1000)&lt;&gt;1))+SUMPRODUCT((LICH_LAM_VIEC!$A$5:$A$1000&gt;=DATE(YEAR(A5),MONTH(A5),1))*(LICH_LAM_VIEC!$A$5:$A$1000&lt;=EOMONTH(A5,0))*(LICH_LAM_VIEC!$B$5:$B$1000="Làm bù")*(WEEKDAY(LICH_LAM_VIEC!$A$5:$A$1000)=1))))</f>
        <v>26</v>
      </c>
      <c r="M5" s="20" t="n">
        <f aca="false">IF(OR(N(L5)=0,C5=""),"",ROUNDUP(C5/L5,0))</f>
        <v>1539</v>
      </c>
    </row>
    <row r="6" customFormat="false" ht="15" hidden="false" customHeight="false" outlineLevel="0" collapsed="false">
      <c r="A6" s="29" t="n">
        <v>46266</v>
      </c>
      <c r="B6" s="11" t="s">
        <v>97</v>
      </c>
      <c r="C6" s="19" t="n">
        <v>40000</v>
      </c>
      <c r="D6" s="12"/>
      <c r="E6" s="20" t="n">
        <f aca="false">IF(OR(A6="",B6=""),"",SUMPRODUCT((NHAP_LIEU!$C$5:$C$10004=B6)*(NHAP_LIEU!$A$5:$A$10004&gt;=DATE(YEAR(A6),MONTH(A6),1))*(NHAP_LIEU!$A$5:$A$10004&lt;DATE(YEAR(A6),MONTH(A6)+1,1))*NHAP_LIEU!$H$5:$S$10004))</f>
        <v>1200</v>
      </c>
      <c r="F6" s="22" t="n">
        <f aca="false">IF(OR(E6="",C6=""),"",E6-C6)</f>
        <v>-38800</v>
      </c>
      <c r="G6" s="21" t="n">
        <f aca="false">IF(OR(E6="",N(C6)=0),"",E6/C6)</f>
        <v>0.03</v>
      </c>
      <c r="H6" s="20" t="n">
        <f aca="false">IF(OR(E6="",C6=""),"",MAX(0,C6-E6))</f>
        <v>38800</v>
      </c>
      <c r="I6" s="20" t="n">
        <f aca="false">IF(OR(A6="",B6=""),"",SUMPRODUCT((NHAP_LIEU!$C$5:$C$10004=B6)*(NHAP_LIEU!$A$5:$A$10004&gt;=DATE(YEAR(A6),MONTH(A6),1))*(NHAP_LIEU!$A$5:$A$10004&lt;DATE(YEAR(A6),MONTH(A6)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2000</v>
      </c>
      <c r="J6" s="22" t="n">
        <f aca="false">IF(I6="","",E6-I6)</f>
        <v>-800</v>
      </c>
      <c r="K6" s="20" t="n">
        <f aca="false">IF(OR(A6="",B6=""),"",SUMIFS($H$5:$H$2004,$B$5:$B$2004,B6,$A$5:$A$2004,"&gt;="&amp;DATE(YEAR(A6),MONTH(A6)-1,1),$A$5:$A$2004,"&lt;"&amp;DATE(YEAR(A6),MONTH(A6),1)))</f>
        <v>0</v>
      </c>
      <c r="L6" s="23" t="n">
        <f aca="false">IF(A6="","",MAX(0,NETWORKDAYS.INTL(DATE(YEAR(A6),MONTH(A6),1),EOMONTH(A6,0),11)-SUMPRODUCT((LICH_LAM_VIEC!$A$5:$A$1000&gt;=DATE(YEAR(A6),MONTH(A6),1))*(LICH_LAM_VIEC!$A$5:$A$1000&lt;=EOMONTH(A6,0))*(LICH_LAM_VIEC!$B$5:$B$1000="Nghỉ")*(WEEKDAY(LICH_LAM_VIEC!$A$5:$A$1000)&lt;&gt;1))+SUMPRODUCT((LICH_LAM_VIEC!$A$5:$A$1000&gt;=DATE(YEAR(A6),MONTH(A6),1))*(LICH_LAM_VIEC!$A$5:$A$1000&lt;=EOMONTH(A6,0))*(LICH_LAM_VIEC!$B$5:$B$1000="Làm bù")*(WEEKDAY(LICH_LAM_VIEC!$A$5:$A$1000)=1))))</f>
        <v>26</v>
      </c>
      <c r="M6" s="20" t="n">
        <f aca="false">IF(OR(N(L6)=0,C6=""),"",ROUNDUP(C6/L6,0))</f>
        <v>1539</v>
      </c>
    </row>
    <row r="7" customFormat="false" ht="15" hidden="false" customHeight="false" outlineLevel="0" collapsed="false">
      <c r="A7" s="29" t="n">
        <v>46266</v>
      </c>
      <c r="B7" s="11" t="s">
        <v>98</v>
      </c>
      <c r="C7" s="19" t="n">
        <v>50000</v>
      </c>
      <c r="D7" s="12"/>
      <c r="E7" s="20" t="n">
        <f aca="false">IF(OR(A7="",B7=""),"",SUMPRODUCT((NHAP_LIEU!$C$5:$C$10004=B7)*(NHAP_LIEU!$A$5:$A$10004&gt;=DATE(YEAR(A7),MONTH(A7),1))*(NHAP_LIEU!$A$5:$A$10004&lt;DATE(YEAR(A7),MONTH(A7)+1,1))*NHAP_LIEU!$H$5:$S$10004))</f>
        <v>725</v>
      </c>
      <c r="F7" s="22" t="n">
        <f aca="false">IF(OR(E7="",C7=""),"",E7-C7)</f>
        <v>-49275</v>
      </c>
      <c r="G7" s="21" t="n">
        <f aca="false">IF(OR(E7="",N(C7)=0),"",E7/C7)</f>
        <v>0.0145</v>
      </c>
      <c r="H7" s="20" t="n">
        <f aca="false">IF(OR(E7="",C7=""),"",MAX(0,C7-E7))</f>
        <v>49275</v>
      </c>
      <c r="I7" s="20" t="n">
        <f aca="false">IF(OR(A7="",B7=""),"",SUMPRODUCT((NHAP_LIEU!$C$5:$C$10004=B7)*(NHAP_LIEU!$A$5:$A$10004&gt;=DATE(YEAR(A7),MONTH(A7),1))*(NHAP_LIEU!$A$5:$A$10004&lt;DATE(YEAR(A7),MONTH(A7)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2128</v>
      </c>
      <c r="J7" s="22" t="n">
        <f aca="false">IF(I7="","",E7-I7)</f>
        <v>-1403</v>
      </c>
      <c r="K7" s="20" t="n">
        <f aca="false">IF(OR(A7="",B7=""),"",SUMIFS($H$5:$H$2004,$B$5:$B$2004,B7,$A$5:$A$2004,"&gt;="&amp;DATE(YEAR(A7),MONTH(A7)-1,1),$A$5:$A$2004,"&lt;"&amp;DATE(YEAR(A7),MONTH(A7),1)))</f>
        <v>0</v>
      </c>
      <c r="L7" s="23" t="n">
        <f aca="false">IF(A7="","",MAX(0,NETWORKDAYS.INTL(DATE(YEAR(A7),MONTH(A7),1),EOMONTH(A7,0),11)-SUMPRODUCT((LICH_LAM_VIEC!$A$5:$A$1000&gt;=DATE(YEAR(A7),MONTH(A7),1))*(LICH_LAM_VIEC!$A$5:$A$1000&lt;=EOMONTH(A7,0))*(LICH_LAM_VIEC!$B$5:$B$1000="Nghỉ")*(WEEKDAY(LICH_LAM_VIEC!$A$5:$A$1000)&lt;&gt;1))+SUMPRODUCT((LICH_LAM_VIEC!$A$5:$A$1000&gt;=DATE(YEAR(A7),MONTH(A7),1))*(LICH_LAM_VIEC!$A$5:$A$1000&lt;=EOMONTH(A7,0))*(LICH_LAM_VIEC!$B$5:$B$1000="Làm bù")*(WEEKDAY(LICH_LAM_VIEC!$A$5:$A$1000)=1))))</f>
        <v>26</v>
      </c>
      <c r="M7" s="20" t="n">
        <f aca="false">IF(OR(N(L7)=0,C7=""),"",ROUNDUP(C7/L7,0))</f>
        <v>1924</v>
      </c>
    </row>
    <row r="8" customFormat="false" ht="15" hidden="false" customHeight="false" outlineLevel="0" collapsed="false">
      <c r="A8" s="29" t="n">
        <v>46266</v>
      </c>
      <c r="B8" s="11" t="s">
        <v>99</v>
      </c>
      <c r="C8" s="19" t="n">
        <v>100000</v>
      </c>
      <c r="D8" s="12" t="s">
        <v>100</v>
      </c>
      <c r="E8" s="20" t="n">
        <f aca="false">IF(OR(A8="",B8=""),"",SUMPRODUCT((NHAP_LIEU!$C$5:$C$10004=B8)*(NHAP_LIEU!$A$5:$A$10004&gt;=DATE(YEAR(A8),MONTH(A8),1))*(NHAP_LIEU!$A$5:$A$10004&lt;DATE(YEAR(A8),MONTH(A8)+1,1))*NHAP_LIEU!$H$5:$S$10004))</f>
        <v>200</v>
      </c>
      <c r="F8" s="22" t="n">
        <f aca="false">IF(OR(E8="",C8=""),"",E8-C8)</f>
        <v>-99800</v>
      </c>
      <c r="G8" s="21" t="n">
        <f aca="false">IF(OR(E8="",N(C8)=0),"",E8/C8)</f>
        <v>0.002</v>
      </c>
      <c r="H8" s="20" t="n">
        <f aca="false">IF(OR(E8="",C8=""),"",MAX(0,C8-E8))</f>
        <v>99800</v>
      </c>
      <c r="I8" s="20" t="n">
        <f aca="false">IF(OR(A8="",B8=""),"",SUMPRODUCT((NHAP_LIEU!$C$5:$C$10004=B8)*(NHAP_LIEU!$A$5:$A$10004&gt;=DATE(YEAR(A8),MONTH(A8),1))*(NHAP_LIEU!$A$5:$A$10004&lt;DATE(YEAR(A8),MONTH(A8)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400</v>
      </c>
      <c r="J8" s="22" t="n">
        <f aca="false">IF(I8="","",E8-I8)</f>
        <v>-200</v>
      </c>
      <c r="K8" s="20" t="n">
        <f aca="false">IF(OR(A8="",B8=""),"",SUMIFS($H$5:$H$2004,$B$5:$B$2004,B8,$A$5:$A$2004,"&gt;="&amp;DATE(YEAR(A8),MONTH(A8)-1,1),$A$5:$A$2004,"&lt;"&amp;DATE(YEAR(A8),MONTH(A8),1)))</f>
        <v>0</v>
      </c>
      <c r="L8" s="23" t="n">
        <f aca="false">IF(A8="","",MAX(0,NETWORKDAYS.INTL(DATE(YEAR(A8),MONTH(A8),1),EOMONTH(A8,0),11)-SUMPRODUCT((LICH_LAM_VIEC!$A$5:$A$1000&gt;=DATE(YEAR(A8),MONTH(A8),1))*(LICH_LAM_VIEC!$A$5:$A$1000&lt;=EOMONTH(A8,0))*(LICH_LAM_VIEC!$B$5:$B$1000="Nghỉ")*(WEEKDAY(LICH_LAM_VIEC!$A$5:$A$1000)&lt;&gt;1))+SUMPRODUCT((LICH_LAM_VIEC!$A$5:$A$1000&gt;=DATE(YEAR(A8),MONTH(A8),1))*(LICH_LAM_VIEC!$A$5:$A$1000&lt;=EOMONTH(A8,0))*(LICH_LAM_VIEC!$B$5:$B$1000="Làm bù")*(WEEKDAY(LICH_LAM_VIEC!$A$5:$A$1000)=1))))</f>
        <v>26</v>
      </c>
      <c r="M8" s="20" t="n">
        <f aca="false">IF(OR(N(L8)=0,C8=""),"",ROUNDUP(C8/L8,0))</f>
        <v>3847</v>
      </c>
    </row>
    <row r="9" customFormat="false" ht="15" hidden="false" customHeight="false" outlineLevel="0" collapsed="false">
      <c r="A9" s="17" t="n">
        <v>46296</v>
      </c>
      <c r="B9" s="18" t="s">
        <v>96</v>
      </c>
      <c r="C9" s="0" t="n">
        <v>42000</v>
      </c>
      <c r="E9" s="18" t="n">
        <f aca="false">IF(OR(A9="",B9=""),"",SUMPRODUCT((NHAP_LIEU!$C$5:$C$10004=B9)*(NHAP_LIEU!$A$5:$A$10004&gt;=DATE(YEAR(A9),MONTH(A9),1))*(NHAP_LIEU!$A$5:$A$10004&lt;DATE(YEAR(A9),MONTH(A9)+1,1))*NHAP_LIEU!$H$5:$S$10004))</f>
        <v>1000</v>
      </c>
      <c r="F9" s="18" t="n">
        <f aca="false">IF(OR(E9="",C9=""),"",E9-C9)</f>
        <v>-41000</v>
      </c>
      <c r="G9" s="18" t="n">
        <f aca="false">IF(OR(E9="",N(C9)=0),"",E9/C9)</f>
        <v>0.0238095238095238</v>
      </c>
      <c r="H9" s="18" t="n">
        <f aca="false">IF(OR(E9="",C9=""),"",MAX(0,C9-E9))</f>
        <v>41000</v>
      </c>
      <c r="I9" s="18" t="n">
        <f aca="false">IF(OR(A9="",B9=""),"",SUMPRODUCT((NHAP_LIEU!$C$5:$C$10004=B9)*(NHAP_LIEU!$A$5:$A$10004&gt;=DATE(YEAR(A9),MONTH(A9),1))*(NHAP_LIEU!$A$5:$A$10004&lt;DATE(YEAR(A9),MONTH(A9)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1600</v>
      </c>
      <c r="J9" s="18" t="n">
        <f aca="false">IF(I9="","",E9-I9)</f>
        <v>-600</v>
      </c>
      <c r="K9" s="18" t="n">
        <f aca="false">IF(OR(A9="",B9=""),"",SUMIFS($H$5:$H$2004,$B$5:$B$2004,B9,$A$5:$A$2004,"&gt;="&amp;DATE(YEAR(A9),MONTH(A9)-1,1),$A$5:$A$2004,"&lt;"&amp;DATE(YEAR(A9),MONTH(A9),1)))</f>
        <v>38940</v>
      </c>
      <c r="L9" s="18" t="n">
        <f aca="false">IF(A9="","",MAX(0,NETWORKDAYS.INTL(DATE(YEAR(A9),MONTH(A9),1),EOMONTH(A9,0),11)-SUMPRODUCT((LICH_LAM_VIEC!$A$5:$A$1000&gt;=DATE(YEAR(A9),MONTH(A9),1))*(LICH_LAM_VIEC!$A$5:$A$1000&lt;=EOMONTH(A9,0))*(LICH_LAM_VIEC!$B$5:$B$1000="Nghỉ")*(WEEKDAY(LICH_LAM_VIEC!$A$5:$A$1000)&lt;&gt;1))+SUMPRODUCT((LICH_LAM_VIEC!$A$5:$A$1000&gt;=DATE(YEAR(A9),MONTH(A9),1))*(LICH_LAM_VIEC!$A$5:$A$1000&lt;=EOMONTH(A9,0))*(LICH_LAM_VIEC!$B$5:$B$1000="Làm bù")*(WEEKDAY(LICH_LAM_VIEC!$A$5:$A$1000)=1))))</f>
        <v>27</v>
      </c>
      <c r="M9" s="18" t="n">
        <f aca="false">IF(OR(N(L9)=0,C9=""),"",ROUNDUP(C9/L9,0))</f>
        <v>1556</v>
      </c>
    </row>
    <row r="10" customFormat="false" ht="15" hidden="false" customHeight="false" outlineLevel="0" collapsed="false">
      <c r="A10" s="17" t="n">
        <v>46296</v>
      </c>
      <c r="B10" s="18" t="s">
        <v>97</v>
      </c>
      <c r="C10" s="0" t="n">
        <v>40000</v>
      </c>
      <c r="E10" s="18" t="n">
        <f aca="false">IF(OR(A10="",B10=""),"",SUMPRODUCT((NHAP_LIEU!$C$5:$C$10004=B10)*(NHAP_LIEU!$A$5:$A$10004&gt;=DATE(YEAR(A10),MONTH(A10),1))*(NHAP_LIEU!$A$5:$A$10004&lt;DATE(YEAR(A10),MONTH(A10)+1,1))*NHAP_LIEU!$H$5:$S$10004))</f>
        <v>1140</v>
      </c>
      <c r="F10" s="18" t="n">
        <f aca="false">IF(OR(E10="",C10=""),"",E10-C10)</f>
        <v>-38860</v>
      </c>
      <c r="G10" s="18" t="n">
        <f aca="false">IF(OR(E10="",N(C10)=0),"",E10/C10)</f>
        <v>0.0285</v>
      </c>
      <c r="H10" s="18" t="n">
        <f aca="false">IF(OR(E10="",C10=""),"",MAX(0,C10-E10))</f>
        <v>38860</v>
      </c>
      <c r="I10" s="18" t="n">
        <f aca="false">IF(OR(A10="",B10=""),"",SUMPRODUCT((NHAP_LIEU!$C$5:$C$10004=B10)*(NHAP_LIEU!$A$5:$A$10004&gt;=DATE(YEAR(A10),MONTH(A10),1))*(NHAP_LIEU!$A$5:$A$10004&lt;DATE(YEAR(A10),MONTH(A10)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2000</v>
      </c>
      <c r="J10" s="18" t="n">
        <f aca="false">IF(I10="","",E10-I10)</f>
        <v>-860</v>
      </c>
      <c r="K10" s="18" t="n">
        <f aca="false">IF(OR(A10="",B10=""),"",SUMIFS($H$5:$H$2004,$B$5:$B$2004,B10,$A$5:$A$2004,"&gt;="&amp;DATE(YEAR(A10),MONTH(A10)-1,1),$A$5:$A$2004,"&lt;"&amp;DATE(YEAR(A10),MONTH(A10),1)))</f>
        <v>38800</v>
      </c>
      <c r="L10" s="18" t="n">
        <f aca="false">IF(A10="","",MAX(0,NETWORKDAYS.INTL(DATE(YEAR(A10),MONTH(A10),1),EOMONTH(A10,0),11)-SUMPRODUCT((LICH_LAM_VIEC!$A$5:$A$1000&gt;=DATE(YEAR(A10),MONTH(A10),1))*(LICH_LAM_VIEC!$A$5:$A$1000&lt;=EOMONTH(A10,0))*(LICH_LAM_VIEC!$B$5:$B$1000="Nghỉ")*(WEEKDAY(LICH_LAM_VIEC!$A$5:$A$1000)&lt;&gt;1))+SUMPRODUCT((LICH_LAM_VIEC!$A$5:$A$1000&gt;=DATE(YEAR(A10),MONTH(A10),1))*(LICH_LAM_VIEC!$A$5:$A$1000&lt;=EOMONTH(A10,0))*(LICH_LAM_VIEC!$B$5:$B$1000="Làm bù")*(WEEKDAY(LICH_LAM_VIEC!$A$5:$A$1000)=1))))</f>
        <v>27</v>
      </c>
      <c r="M10" s="18" t="n">
        <f aca="false">IF(OR(N(L10)=0,C10=""),"",ROUNDUP(C10/L10,0))</f>
        <v>1482</v>
      </c>
    </row>
    <row r="11" customFormat="false" ht="15" hidden="false" customHeight="false" outlineLevel="0" collapsed="false">
      <c r="A11" s="17" t="n">
        <v>46296</v>
      </c>
      <c r="B11" s="18" t="s">
        <v>98</v>
      </c>
      <c r="C11" s="0" t="n">
        <v>50000</v>
      </c>
      <c r="E11" s="18" t="n">
        <f aca="false">IF(OR(A11="",B11=""),"",SUMPRODUCT((NHAP_LIEU!$C$5:$C$10004=B11)*(NHAP_LIEU!$A$5:$A$10004&gt;=DATE(YEAR(A11),MONTH(A11),1))*(NHAP_LIEU!$A$5:$A$10004&lt;DATE(YEAR(A11),MONTH(A11)+1,1))*NHAP_LIEU!$H$5:$S$10004))</f>
        <v>2035</v>
      </c>
      <c r="F11" s="18" t="n">
        <f aca="false">IF(OR(E11="",C11=""),"",E11-C11)</f>
        <v>-47965</v>
      </c>
      <c r="G11" s="18" t="n">
        <f aca="false">IF(OR(E11="",N(C11)=0),"",E11/C11)</f>
        <v>0.0407</v>
      </c>
      <c r="H11" s="18" t="n">
        <f aca="false">IF(OR(E11="",C11=""),"",MAX(0,C11-E11))</f>
        <v>47965</v>
      </c>
      <c r="I11" s="18" t="n">
        <f aca="false">IF(OR(A11="",B11=""),"",SUMPRODUCT((NHAP_LIEU!$C$5:$C$10004=B11)*(NHAP_LIEU!$A$5:$A$10004&gt;=DATE(YEAR(A11),MONTH(A11),1))*(NHAP_LIEU!$A$5:$A$10004&lt;DATE(YEAR(A11),MONTH(A11)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2128</v>
      </c>
      <c r="J11" s="18" t="n">
        <f aca="false">IF(I11="","",E11-I11)</f>
        <v>-93</v>
      </c>
      <c r="K11" s="18" t="n">
        <f aca="false">IF(OR(A11="",B11=""),"",SUMIFS($H$5:$H$2004,$B$5:$B$2004,B11,$A$5:$A$2004,"&gt;="&amp;DATE(YEAR(A11),MONTH(A11)-1,1),$A$5:$A$2004,"&lt;"&amp;DATE(YEAR(A11),MONTH(A11),1)))</f>
        <v>49275</v>
      </c>
      <c r="L11" s="18" t="n">
        <f aca="false">IF(A11="","",MAX(0,NETWORKDAYS.INTL(DATE(YEAR(A11),MONTH(A11),1),EOMONTH(A11,0),11)-SUMPRODUCT((LICH_LAM_VIEC!$A$5:$A$1000&gt;=DATE(YEAR(A11),MONTH(A11),1))*(LICH_LAM_VIEC!$A$5:$A$1000&lt;=EOMONTH(A11,0))*(LICH_LAM_VIEC!$B$5:$B$1000="Nghỉ")*(WEEKDAY(LICH_LAM_VIEC!$A$5:$A$1000)&lt;&gt;1))+SUMPRODUCT((LICH_LAM_VIEC!$A$5:$A$1000&gt;=DATE(YEAR(A11),MONTH(A11),1))*(LICH_LAM_VIEC!$A$5:$A$1000&lt;=EOMONTH(A11,0))*(LICH_LAM_VIEC!$B$5:$B$1000="Làm bù")*(WEEKDAY(LICH_LAM_VIEC!$A$5:$A$1000)=1))))</f>
        <v>27</v>
      </c>
      <c r="M11" s="18" t="n">
        <f aca="false">IF(OR(N(L11)=0,C11=""),"",ROUNDUP(C11/L11,0))</f>
        <v>1852</v>
      </c>
    </row>
  </sheetData>
  <mergeCells count="1">
    <mergeCell ref="A1:H1"/>
  </mergeCells>
  <conditionalFormatting sqref="G5:G8">
    <cfRule type="expression" priority="2" aboveAverage="0" equalAverage="0" bottom="0" percent="0" rank="0" text="" dxfId="9">
      <formula>AND(ISNUMBER(G5),G5&lt;1)</formula>
    </cfRule>
  </conditionalFormatting>
  <dataValidations count="1">
    <dataValidation allowBlank="true" error="Mã sản phẩm phải có trong sheet DANH_SACH_SAN_PHAM." errorStyle="stop" errorTitle="Sai dữ liệu" operator="between" showDropDown="false" showErrorMessage="true" showInputMessage="false" sqref="B5:B8" type="list">
      <formula1>DS_MA_SAN_PHAM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33" min="22" style="0" width="8"/>
    <col collapsed="false" customWidth="true" hidden="false" outlineLevel="0" max="34" min="34" style="0" width="12"/>
    <col collapsed="false" customWidth="true" hidden="false" outlineLevel="0" max="35" min="35" style="0" width="20"/>
    <col collapsed="false" customWidth="true" hidden="false" outlineLevel="0" max="37" min="36" style="0" width="10"/>
    <col collapsed="false" customWidth="true" hidden="false" outlineLevel="0" max="38" min="38" style="0" width="13"/>
    <col collapsed="false" customWidth="true" hidden="false" outlineLevel="0" max="39" min="39" style="0" width="11"/>
    <col collapsed="false" customWidth="true" hidden="false" outlineLevel="0" max="40" min="40" style="0" width="14"/>
    <col collapsed="false" customWidth="true" hidden="false" outlineLevel="0" max="41" min="41" style="0" width="10"/>
    <col collapsed="false" customWidth="true" hidden="false" outlineLevel="0" max="42" min="42" style="0" width="11"/>
    <col collapsed="false" customWidth="true" hidden="false" outlineLevel="0" max="44" min="43" style="0" width="10"/>
    <col collapsed="false" customWidth="true" hidden="false" outlineLevel="0" max="45" min="45" style="0" width="20"/>
    <col collapsed="false" customWidth="true" hidden="false" outlineLevel="0" max="46" min="46" style="0" width="10"/>
  </cols>
  <sheetData>
    <row r="1" customFormat="false" ht="27.75" hidden="false" customHeight="true" outlineLevel="0" collapsed="false">
      <c r="A1" s="6" t="s">
        <v>240</v>
      </c>
      <c r="B1" s="6"/>
      <c r="C1" s="6"/>
      <c r="D1" s="6"/>
      <c r="E1" s="6"/>
      <c r="G1" s="30" t="s">
        <v>241</v>
      </c>
      <c r="H1" s="30"/>
      <c r="I1" s="30"/>
      <c r="J1" s="31"/>
      <c r="K1" s="30" t="s">
        <v>242</v>
      </c>
      <c r="L1" s="30"/>
      <c r="M1" s="32" t="n">
        <f aca="false">IF(J1&lt;&gt;"",J1,MAX(NHAP_LIEU!$A$5:$A$10004))</f>
        <v>46297</v>
      </c>
    </row>
    <row r="2" customFormat="false" ht="27.75" hidden="false" customHeight="true" outlineLevel="0" collapsed="false">
      <c r="A2" s="7" t="s">
        <v>113</v>
      </c>
      <c r="B2" s="7" t="s">
        <v>123</v>
      </c>
      <c r="C2" s="7" t="s">
        <v>90</v>
      </c>
      <c r="D2" s="7" t="s">
        <v>124</v>
      </c>
      <c r="E2" s="7" t="s">
        <v>33</v>
      </c>
      <c r="F2" s="7" t="s">
        <v>125</v>
      </c>
      <c r="G2" s="7" t="s">
        <v>126</v>
      </c>
      <c r="H2" s="7" t="s">
        <v>139</v>
      </c>
      <c r="I2" s="7" t="s">
        <v>140</v>
      </c>
      <c r="J2" s="7" t="s">
        <v>141</v>
      </c>
      <c r="K2" s="7" t="s">
        <v>142</v>
      </c>
      <c r="L2" s="7" t="s">
        <v>143</v>
      </c>
      <c r="M2" s="7" t="s">
        <v>144</v>
      </c>
      <c r="N2" s="7" t="s">
        <v>145</v>
      </c>
      <c r="O2" s="7" t="s">
        <v>146</v>
      </c>
      <c r="P2" s="7" t="s">
        <v>147</v>
      </c>
      <c r="Q2" s="7" t="s">
        <v>220</v>
      </c>
      <c r="R2" s="7" t="s">
        <v>221</v>
      </c>
      <c r="S2" s="7" t="s">
        <v>223</v>
      </c>
      <c r="T2" s="7" t="s">
        <v>142</v>
      </c>
      <c r="U2" s="7" t="s">
        <v>243</v>
      </c>
      <c r="V2" s="7" t="s">
        <v>127</v>
      </c>
      <c r="W2" s="7" t="s">
        <v>128</v>
      </c>
      <c r="X2" s="7" t="s">
        <v>129</v>
      </c>
      <c r="Y2" s="7" t="s">
        <v>130</v>
      </c>
      <c r="Z2" s="7" t="s">
        <v>131</v>
      </c>
      <c r="AA2" s="7" t="s">
        <v>132</v>
      </c>
      <c r="AB2" s="7" t="s">
        <v>133</v>
      </c>
      <c r="AC2" s="7" t="s">
        <v>134</v>
      </c>
      <c r="AD2" s="7" t="s">
        <v>135</v>
      </c>
      <c r="AE2" s="7" t="s">
        <v>136</v>
      </c>
      <c r="AF2" s="7" t="s">
        <v>137</v>
      </c>
      <c r="AG2" s="7" t="s">
        <v>138</v>
      </c>
      <c r="AH2" s="7" t="s">
        <v>148</v>
      </c>
      <c r="AI2" s="7" t="s">
        <v>92</v>
      </c>
      <c r="AJ2" s="7" t="s">
        <v>150</v>
      </c>
      <c r="AK2" s="7" t="s">
        <v>244</v>
      </c>
      <c r="AL2" s="7" t="s">
        <v>226</v>
      </c>
      <c r="AM2" s="7" t="s">
        <v>245</v>
      </c>
      <c r="AN2" s="7" t="s">
        <v>246</v>
      </c>
      <c r="AO2" s="7" t="s">
        <v>151</v>
      </c>
      <c r="AP2" s="7" t="s">
        <v>155</v>
      </c>
      <c r="AQ2" s="7" t="s">
        <v>152</v>
      </c>
      <c r="AR2" s="7" t="s">
        <v>156</v>
      </c>
      <c r="AS2" s="7" t="s">
        <v>153</v>
      </c>
      <c r="AT2" s="7" t="s">
        <v>154</v>
      </c>
    </row>
    <row r="3" customFormat="false" ht="37.5" hidden="false" customHeight="true" outlineLevel="0" collapsed="false">
      <c r="A3" s="9" t="s">
        <v>116</v>
      </c>
      <c r="B3" s="9" t="s">
        <v>157</v>
      </c>
      <c r="C3" s="9" t="s">
        <v>93</v>
      </c>
      <c r="D3" s="9" t="s">
        <v>41</v>
      </c>
      <c r="E3" s="9" t="s">
        <v>159</v>
      </c>
      <c r="F3" s="9" t="s">
        <v>158</v>
      </c>
      <c r="G3" s="9" t="s">
        <v>160</v>
      </c>
      <c r="H3" s="9" t="s">
        <v>173</v>
      </c>
      <c r="I3" s="9" t="s">
        <v>174</v>
      </c>
      <c r="J3" s="9" t="s">
        <v>175</v>
      </c>
      <c r="K3" s="9" t="s">
        <v>176</v>
      </c>
      <c r="L3" s="9" t="s">
        <v>177</v>
      </c>
      <c r="M3" s="9" t="s">
        <v>178</v>
      </c>
      <c r="N3" s="9" t="s">
        <v>179</v>
      </c>
      <c r="O3" s="9" t="s">
        <v>180</v>
      </c>
      <c r="P3" s="9" t="s">
        <v>181</v>
      </c>
      <c r="Q3" s="9" t="s">
        <v>247</v>
      </c>
      <c r="R3" s="9" t="s">
        <v>248</v>
      </c>
      <c r="S3" s="9" t="s">
        <v>249</v>
      </c>
      <c r="T3" s="9" t="s">
        <v>250</v>
      </c>
      <c r="U3" s="9" t="s">
        <v>251</v>
      </c>
      <c r="V3" s="9" t="s">
        <v>161</v>
      </c>
      <c r="W3" s="9" t="s">
        <v>162</v>
      </c>
      <c r="X3" s="9" t="s">
        <v>163</v>
      </c>
      <c r="Y3" s="9" t="s">
        <v>164</v>
      </c>
      <c r="Z3" s="9" t="s">
        <v>165</v>
      </c>
      <c r="AA3" s="9" t="s">
        <v>166</v>
      </c>
      <c r="AB3" s="9" t="s">
        <v>167</v>
      </c>
      <c r="AC3" s="9" t="s">
        <v>168</v>
      </c>
      <c r="AD3" s="9" t="s">
        <v>169</v>
      </c>
      <c r="AE3" s="9" t="s">
        <v>170</v>
      </c>
      <c r="AF3" s="9" t="s">
        <v>171</v>
      </c>
      <c r="AG3" s="9" t="s">
        <v>172</v>
      </c>
      <c r="AH3" s="9" t="s">
        <v>50</v>
      </c>
      <c r="AI3" s="9" t="s">
        <v>95</v>
      </c>
      <c r="AJ3" s="9" t="s">
        <v>252</v>
      </c>
      <c r="AK3" s="9" t="s">
        <v>253</v>
      </c>
      <c r="AL3" s="9" t="s">
        <v>254</v>
      </c>
      <c r="AM3" s="9" t="s">
        <v>255</v>
      </c>
      <c r="AN3" s="9" t="s">
        <v>256</v>
      </c>
      <c r="AO3" s="9" t="s">
        <v>184</v>
      </c>
      <c r="AP3" s="9" t="s">
        <v>187</v>
      </c>
      <c r="AQ3" s="9" t="s">
        <v>185</v>
      </c>
      <c r="AR3" s="9" t="s">
        <v>188</v>
      </c>
      <c r="AS3" s="9" t="s">
        <v>105</v>
      </c>
      <c r="AT3" s="9" t="s">
        <v>186</v>
      </c>
    </row>
    <row r="4" customFormat="false" ht="15" hidden="false" customHeight="false" outlineLevel="0" collapsed="false">
      <c r="A4" s="10" t="s">
        <v>51</v>
      </c>
      <c r="B4" s="10" t="s">
        <v>52</v>
      </c>
      <c r="C4" s="10" t="s">
        <v>53</v>
      </c>
      <c r="D4" s="10" t="s">
        <v>54</v>
      </c>
      <c r="E4" s="10" t="s">
        <v>55</v>
      </c>
      <c r="F4" s="10" t="s">
        <v>56</v>
      </c>
      <c r="G4" s="10" t="s">
        <v>57</v>
      </c>
      <c r="H4" s="10" t="s">
        <v>58</v>
      </c>
      <c r="I4" s="10" t="s">
        <v>59</v>
      </c>
      <c r="J4" s="10" t="s">
        <v>60</v>
      </c>
      <c r="K4" s="10" t="s">
        <v>189</v>
      </c>
      <c r="L4" s="10" t="s">
        <v>190</v>
      </c>
      <c r="M4" s="10" t="s">
        <v>191</v>
      </c>
      <c r="N4" s="10" t="s">
        <v>192</v>
      </c>
      <c r="O4" s="10" t="s">
        <v>193</v>
      </c>
      <c r="P4" s="10" t="s">
        <v>194</v>
      </c>
      <c r="Q4" s="10" t="s">
        <v>195</v>
      </c>
      <c r="R4" s="10" t="s">
        <v>196</v>
      </c>
      <c r="S4" s="10" t="s">
        <v>197</v>
      </c>
      <c r="T4" s="10" t="s">
        <v>198</v>
      </c>
      <c r="U4" s="10" t="s">
        <v>199</v>
      </c>
      <c r="V4" s="10" t="s">
        <v>200</v>
      </c>
      <c r="W4" s="10" t="s">
        <v>201</v>
      </c>
      <c r="X4" s="10" t="s">
        <v>202</v>
      </c>
      <c r="Y4" s="10" t="s">
        <v>203</v>
      </c>
      <c r="Z4" s="10" t="s">
        <v>204</v>
      </c>
      <c r="AA4" s="10" t="s">
        <v>205</v>
      </c>
      <c r="AB4" s="10" t="s">
        <v>206</v>
      </c>
      <c r="AC4" s="10" t="s">
        <v>207</v>
      </c>
      <c r="AD4" s="10" t="s">
        <v>208</v>
      </c>
      <c r="AE4" s="10" t="s">
        <v>209</v>
      </c>
      <c r="AF4" s="10" t="s">
        <v>210</v>
      </c>
      <c r="AG4" s="10" t="s">
        <v>211</v>
      </c>
      <c r="AH4" s="10" t="s">
        <v>212</v>
      </c>
      <c r="AI4" s="10" t="s">
        <v>213</v>
      </c>
      <c r="AJ4" s="10" t="s">
        <v>214</v>
      </c>
      <c r="AK4" s="10" t="s">
        <v>215</v>
      </c>
      <c r="AL4" s="10" t="s">
        <v>216</v>
      </c>
      <c r="AM4" s="10" t="s">
        <v>257</v>
      </c>
      <c r="AN4" s="10" t="s">
        <v>258</v>
      </c>
      <c r="AO4" s="10" t="s">
        <v>259</v>
      </c>
      <c r="AP4" s="10" t="s">
        <v>260</v>
      </c>
      <c r="AQ4" s="10" t="s">
        <v>261</v>
      </c>
      <c r="AR4" s="10" t="s">
        <v>262</v>
      </c>
      <c r="AS4" s="10" t="s">
        <v>263</v>
      </c>
      <c r="AT4" s="10" t="s">
        <v>264</v>
      </c>
    </row>
    <row r="5" customFormat="false" ht="15" hidden="false" customHeight="false" outlineLevel="0" collapsed="false">
      <c r="A5" s="33" t="n">
        <f aca="false">IF(B5="","",$M$1)</f>
        <v>46297</v>
      </c>
      <c r="B5" s="16" t="str">
        <f aca="false">IF(DANH_SACH_CHUYEN!B5="","",DANH_SACH_CHUYEN!B5)</f>
        <v>Chuyền 1</v>
      </c>
      <c r="C5" s="34" t="str">
        <f aca="false">IF($AJ5="","",IF(INDEX(NHAP_LIEU!$C$5:$C$10004,$AJ5)="","",INDEX(NHAP_LIEU!$C$5:$C$10004,$AJ5)))</f>
        <v>ĐAI LƯNG</v>
      </c>
      <c r="D5" s="16" t="str">
        <f aca="false">IF($AJ5="","",IF(INDEX(NHAP_LIEU!$D$5:$D$10004,$AJ5)="","",INDEX(NHAP_LIEU!$D$5:$D$10004,$AJ5)))</f>
        <v>8H</v>
      </c>
      <c r="E5" s="13" t="n">
        <f aca="false">IF(D5="","",IFERROR(INDEX(CAU_HINH_CA!$C$5:$C$50,MATCH(D5,CAU_HINH_CA!$A$5:$A$50,0)),""))</f>
        <v>8</v>
      </c>
      <c r="F5" s="20" t="n">
        <f aca="false">IF($AJ5="","",IF(INDEX(NHAP_LIEU!$E$5:$E$10004,$AJ5)="","",INDEX(NHAP_LIEU!$E$5:$E$10004,$AJ5)))</f>
        <v>100</v>
      </c>
      <c r="G5" s="20" t="n">
        <f aca="false">IF(OR(E5="",F5=""),"",ROUND(E5*F5,0))</f>
        <v>800</v>
      </c>
      <c r="H5" s="20" t="n">
        <f aca="false">IF(COUNT(V5:AG5)=0,"",SUM(V5:AG5))</f>
        <v>200</v>
      </c>
      <c r="I5" s="21" t="n">
        <f aca="false">IF(OR(H5="",N(G5)=0),"",H5/G5)</f>
        <v>0.25</v>
      </c>
      <c r="J5" s="22" t="n">
        <f aca="false">IF(OR(H5="",G5=""),"",H5-G5)</f>
        <v>-600</v>
      </c>
      <c r="K5" s="20" t="n">
        <f aca="false">IF(OR(H5="",G5=""),"",MAX(0,G5-H5))</f>
        <v>600</v>
      </c>
      <c r="L5" s="23" t="n">
        <f aca="false">IF(AJ5="","",COUNT(V5:AG5))</f>
        <v>2</v>
      </c>
      <c r="M5" s="20" t="n">
        <f aca="false">IF(OR(L5="",F5="",G5=""),"",MIN(G5,L5*F5))</f>
        <v>200</v>
      </c>
      <c r="N5" s="21" t="n">
        <f aca="false">IF(OR(H5="",N(M5)=0),"",H5/M5)</f>
        <v>1</v>
      </c>
      <c r="O5" s="24" t="n">
        <f aca="false">IF(OR(B5="",A5=""),"",IF(SUMPRODUCT(MAX((NHAP_LIEU!$B$5:$B$10004=B5)*(NHAP_LIEU!$A$5:$A$10004&lt;A5)*NHAP_LIEU!$A$5:$A$10004))=0,"",SUMPRODUCT(MAX((NHAP_LIEU!$B$5:$B$10004=B5)*(NHAP_LIEU!$A$5:$A$10004&lt;A5)*NHAP_LIEU!$A$5:$A$10004))))</f>
        <v>46296</v>
      </c>
      <c r="P5" s="20" t="n">
        <f aca="false">IF(AK5="","",IF(COUNT(INDEX(NHAP_LIEU!$H$5:$S$10004,AK5,0))=0,0,MAX(0,IFERROR(ROUND(INDEX(CAU_HINH_CA!$C$5:$C$50,MATCH(INDEX(NHAP_LIEU!$D$5:$D$10004,AK5),CAU_HINH_CA!$A$5:$A$50,0))*INDEX(NHAP_LIEU!$E$5:$E$10004,AK5),0),0)-SUM(INDEX(NHAP_LIEU!$H$5:$S$10004,AK5,0)))))</f>
        <v>0</v>
      </c>
      <c r="Q5" s="20" t="n">
        <f aca="false">IF(C5="","",SUMIFS(MUC_TIEU_THANG!$C$5:$C$2004,MUC_TIEU_THANG!$B$5:$B$2004,C5,MUC_TIEU_THANG!$A$5:$A$2004,"&gt;="&amp;DATE(YEAR(A5),MONTH(A5),1),MUC_TIEU_THANG!$A$5:$A$2004,"&lt;"&amp;DATE(YEAR(A5),MONTH(A5)+1,1)))</f>
        <v>42000</v>
      </c>
      <c r="R5" s="20" t="n">
        <f aca="false">IF(C5="","",SUMPRODUCT((NHAP_LIEU!$C$5:$C$10004=C5)*(NHAP_LIEU!$A$5:$A$10004&gt;=DATE(YEAR(A5),MONTH(A5),1))*(NHAP_LIEU!$A$5:$A$10004&lt;=A5)*NHAP_LIEU!$H$5:$S$10004))</f>
        <v>1000</v>
      </c>
      <c r="S5" s="21" t="n">
        <f aca="false">IF(OR(R5="",N(Q5)=0),"",R5/Q5)</f>
        <v>0.0238095238095238</v>
      </c>
      <c r="T5" s="20" t="n">
        <f aca="false">IF(OR(R5="",N(Q5)=0),"",MAX(0,Q5-R5))</f>
        <v>41000</v>
      </c>
      <c r="U5" s="20" t="n">
        <f aca="false">IF(B5="","",SUMPRODUCT((NHAP_LIEU!$B$5:$B$10004=B5)*(NHAP_LIEU!$A$5:$A$10004&gt;=DATE(YEAR(A5),MONTH(A5),1))*(NHAP_LIEU!$A$5:$A$10004&lt;=A5)*NHAP_LIEU!$H$5:$S$10004))</f>
        <v>1000</v>
      </c>
      <c r="V5" s="20" t="n">
        <f aca="false">IF($AJ5="","",IF(INDEX(NHAP_LIEU!$H$5:$H$10004,$AJ5)="","",INDEX(NHAP_LIEU!$H$5:$H$10004,$AJ5)))</f>
        <v>100</v>
      </c>
      <c r="W5" s="20" t="n">
        <f aca="false">IF($AJ5="","",IF(INDEX(NHAP_LIEU!$I$5:$I$10004,$AJ5)="","",INDEX(NHAP_LIEU!$I$5:$I$10004,$AJ5)))</f>
        <v>100</v>
      </c>
      <c r="X5" s="20" t="str">
        <f aca="false">IF($AJ5="","",IF(INDEX(NHAP_LIEU!$J$5:$J$10004,$AJ5)="","",INDEX(NHAP_LIEU!$J$5:$J$10004,$AJ5)))</f>
        <v/>
      </c>
      <c r="Y5" s="20" t="str">
        <f aca="false">IF($AJ5="","",IF(INDEX(NHAP_LIEU!$K$5:$K$10004,$AJ5)="","",INDEX(NHAP_LIEU!$K$5:$K$10004,$AJ5)))</f>
        <v/>
      </c>
      <c r="Z5" s="20" t="str">
        <f aca="false">IF($AJ5="","",IF(INDEX(NHAP_LIEU!$L$5:$L$10004,$AJ5)="","",INDEX(NHAP_LIEU!$L$5:$L$10004,$AJ5)))</f>
        <v/>
      </c>
      <c r="AA5" s="20" t="str">
        <f aca="false">IF($AJ5="","",IF(INDEX(NHAP_LIEU!$M$5:$M$10004,$AJ5)="","",INDEX(NHAP_LIEU!$M$5:$M$10004,$AJ5)))</f>
        <v/>
      </c>
      <c r="AB5" s="20" t="str">
        <f aca="false">IF($AJ5="","",IF(INDEX(NHAP_LIEU!$N$5:$N$10004,$AJ5)="","",INDEX(NHAP_LIEU!$N$5:$N$10004,$AJ5)))</f>
        <v/>
      </c>
      <c r="AC5" s="20" t="str">
        <f aca="false">IF($AJ5="","",IF(INDEX(NHAP_LIEU!$O$5:$O$10004,$AJ5)="","",INDEX(NHAP_LIEU!$O$5:$O$10004,$AJ5)))</f>
        <v/>
      </c>
      <c r="AD5" s="20" t="str">
        <f aca="false">IF($AJ5="","",IF(INDEX(NHAP_LIEU!$P$5:$P$10004,$AJ5)="","",INDEX(NHAP_LIEU!$P$5:$P$10004,$AJ5)))</f>
        <v/>
      </c>
      <c r="AE5" s="20" t="str">
        <f aca="false">IF($AJ5="","",IF(INDEX(NHAP_LIEU!$Q$5:$Q$10004,$AJ5)="","",INDEX(NHAP_LIEU!$Q$5:$Q$10004,$AJ5)))</f>
        <v/>
      </c>
      <c r="AF5" s="20" t="str">
        <f aca="false">IF($AJ5="","",IF(INDEX(NHAP_LIEU!$R$5:$R$10004,$AJ5)="","",INDEX(NHAP_LIEU!$R$5:$R$10004,$AJ5)))</f>
        <v/>
      </c>
      <c r="AG5" s="20" t="str">
        <f aca="false">IF($AJ5="","",IF(INDEX(NHAP_LIEU!$S$5:$S$10004,$AJ5)="","",INDEX(NHAP_LIEU!$S$5:$S$10004,$AJ5)))</f>
        <v/>
      </c>
      <c r="AH5" s="16" t="str">
        <f aca="false">IF($AJ5="","",IF(INDEX(NHAP_LIEU!$AC$5:$AC$10004,$AJ5)="","",INDEX(NHAP_LIEU!$AC$5:$AC$10004,$AJ5)))</f>
        <v/>
      </c>
      <c r="AI5" s="16" t="str">
        <f aca="false">IF($AJ5="","",IF(INDEX(NHAP_LIEU!$AD$5:$AD$10004,$AJ5)="","",INDEX(NHAP_LIEU!$AD$5:$AD$10004,$AJ5)))</f>
        <v/>
      </c>
      <c r="AJ5" s="23" t="n">
        <f aca="false">IF(OR(B5="",A5=""),"",IFERROR(MATCH(1,INDEX((NHAP_LIEU!$A$5:$A$10004=A5)*(NHAP_LIEU!$B$5:$B$10004=B5),0),0),""))</f>
        <v>11</v>
      </c>
      <c r="AK5" s="23" t="n">
        <f aca="false">IF(O5="","",IFERROR(MATCH(1,INDEX((NHAP_LIEU!$A$5:$A$10004=O5)*(NHAP_LIEU!$B$5:$B$10004=B5),0),0),""))</f>
        <v>8</v>
      </c>
      <c r="AL5" s="20" t="n">
        <f aca="false">IF(C5="","",SUMIFS(MUC_TIEU_THANG!$K$5:$K$2004,MUC_TIEU_THANG!$B$5:$B$2004,C5,MUC_TIEU_THANG!$A$5:$A$2004,"&gt;="&amp;DATE(YEAR(A5),MONTH(A5),1),MUC_TIEU_THANG!$A$5:$A$2004,"&lt;"&amp;DATE(YEAR(A5),MONTH(A5)+1,1)))</f>
        <v>38940</v>
      </c>
      <c r="AM5" s="23" t="n">
        <f aca="false">IF(A5="","",MAX(0,NETWORKDAYS.INTL(A5,EOMONTH(A5,0),11)-SUMPRODUCT((LICH_LAM_VIEC!$A$5:$A$1000&gt;=A5)*(LICH_LAM_VIEC!$A$5:$A$1000&lt;=EOMONTH(A5,0))*(LICH_LAM_VIEC!$B$5:$B$1000="Nghỉ")*(WEEKDAY(LICH_LAM_VIEC!$A$5:$A$1000)&lt;&gt;1))+SUMPRODUCT((LICH_LAM_VIEC!$A$5:$A$1000&gt;=A5)*(LICH_LAM_VIEC!$A$5:$A$1000&lt;=EOMONTH(A5,0))*(LICH_LAM_VIEC!$B$5:$B$1000="Làm bù")*(WEEKDAY(LICH_LAM_VIEC!$A$5:$A$1000)=1))))</f>
        <v>26</v>
      </c>
      <c r="AN5" s="20" t="n">
        <f aca="false">IF(OR(C5="",N(Q5)=0,N(AM5)=0),"",ROUNDUP(MAX(0,Q5-SUMPRODUCT((NHAP_LIEU!$C$5:$C$10004=C5)*(NHAP_LIEU!$A$5:$A$10004&gt;=DATE(YEAR(A5),MONTH(A5),1))*(NHAP_LIEU!$A$5:$A$10004&lt;A5)*NHAP_LIEU!$H$5:$S$10004))/AM5,0))</f>
        <v>1585</v>
      </c>
      <c r="AO5" s="23" t="n">
        <f aca="false">IF($AJ5="","",IF(INDEX(NHAP_LIEU!$AG$5:$AG$10004,$AJ5)="","",INDEX(NHAP_LIEU!$AG$5:$AG$10004,$AJ5)))</f>
        <v>20</v>
      </c>
      <c r="AP5" s="26" t="n">
        <f aca="false">IF(OR(H5="",N(AO5)=0,N(L5)=0),"",H5/(AO5*L5))</f>
        <v>5</v>
      </c>
      <c r="AQ5" s="20" t="str">
        <f aca="false">IF($AJ5="","",IF(INDEX(NHAP_LIEU!$AH$5:$AH$10004,$AJ5)="","",INDEX(NHAP_LIEU!$AH$5:$AH$10004,$AJ5)))</f>
        <v/>
      </c>
      <c r="AR5" s="27" t="str">
        <f aca="false">IF(OR(AQ5="",N(H5)=0),"",AQ5/H5)</f>
        <v/>
      </c>
      <c r="AS5" s="16" t="str">
        <f aca="false">IF($AJ5="","",IF(INDEX(NHAP_LIEU!$AI$5:$AI$10004,$AJ5)="","",INDEX(NHAP_LIEU!$AI$5:$AI$10004,$AJ5)))</f>
        <v/>
      </c>
      <c r="AT5" s="23" t="str">
        <f aca="false">IF($AJ5="","",IF(INDEX(NHAP_LIEU!$AJ$5:$AJ$10004,$AJ5)="","",INDEX(NHAP_LIEU!$AJ$5:$AJ$10004,$AJ5)))</f>
        <v/>
      </c>
    </row>
    <row r="6" customFormat="false" ht="15" hidden="false" customHeight="false" outlineLevel="0" collapsed="false">
      <c r="A6" s="33" t="n">
        <f aca="false">IF(B6="","",$M$1)</f>
        <v>46297</v>
      </c>
      <c r="B6" s="16" t="str">
        <f aca="false">IF(DANH_SACH_CHUYEN!B6="","",DANH_SACH_CHUYEN!B6)</f>
        <v>Chuyền 2</v>
      </c>
      <c r="C6" s="34" t="str">
        <f aca="false">IF($AJ6="","",IF(INDEX(NHAP_LIEU!$C$5:$C$10004,$AJ6)="","",INDEX(NHAP_LIEU!$C$5:$C$10004,$AJ6)))</f>
        <v>BAO TAY XANH</v>
      </c>
      <c r="D6" s="16" t="str">
        <f aca="false">IF($AJ6="","",IF(INDEX(NHAP_LIEU!$D$5:$D$10004,$AJ6)="","",INDEX(NHAP_LIEU!$D$5:$D$10004,$AJ6)))</f>
        <v>10H</v>
      </c>
      <c r="E6" s="13" t="n">
        <f aca="false">IF(D6="","",IFERROR(INDEX(CAU_HINH_CA!$C$5:$C$50,MATCH(D6,CAU_HINH_CA!$A$5:$A$50,0)),""))</f>
        <v>10</v>
      </c>
      <c r="F6" s="20" t="n">
        <f aca="false">IF($AJ6="","",IF(INDEX(NHAP_LIEU!$E$5:$E$10004,$AJ6)="","",INDEX(NHAP_LIEU!$E$5:$E$10004,$AJ6)))</f>
        <v>100</v>
      </c>
      <c r="G6" s="20" t="n">
        <f aca="false">IF(OR(E6="",F6=""),"",ROUND(E6*F6,0))</f>
        <v>1000</v>
      </c>
      <c r="H6" s="20" t="n">
        <f aca="false">IF(COUNT(V6:AG6)=0,"",SUM(V6:AG6))</f>
        <v>240</v>
      </c>
      <c r="I6" s="21" t="n">
        <f aca="false">IF(OR(H6="",N(G6)=0),"",H6/G6)</f>
        <v>0.24</v>
      </c>
      <c r="J6" s="22" t="n">
        <f aca="false">IF(OR(H6="",G6=""),"",H6-G6)</f>
        <v>-760</v>
      </c>
      <c r="K6" s="20" t="n">
        <f aca="false">IF(OR(H6="",G6=""),"",MAX(0,G6-H6))</f>
        <v>760</v>
      </c>
      <c r="L6" s="23" t="n">
        <f aca="false">IF(AJ6="","",COUNT(V6:AG6))</f>
        <v>3</v>
      </c>
      <c r="M6" s="20" t="n">
        <f aca="false">IF(OR(L6="",F6="",G6=""),"",MIN(G6,L6*F6))</f>
        <v>300</v>
      </c>
      <c r="N6" s="21" t="n">
        <f aca="false">IF(OR(H6="",N(M6)=0),"",H6/M6)</f>
        <v>0.8</v>
      </c>
      <c r="O6" s="24" t="n">
        <f aca="false">IF(OR(B6="",A6=""),"",IF(SUMPRODUCT(MAX((NHAP_LIEU!$B$5:$B$10004=B6)*(NHAP_LIEU!$A$5:$A$10004&lt;A6)*NHAP_LIEU!$A$5:$A$10004))=0,"",SUMPRODUCT(MAX((NHAP_LIEU!$B$5:$B$10004=B6)*(NHAP_LIEU!$A$5:$A$10004&lt;A6)*NHAP_LIEU!$A$5:$A$10004))))</f>
        <v>46296</v>
      </c>
      <c r="P6" s="20" t="n">
        <f aca="false">IF(AK6="","",IF(COUNT(INDEX(NHAP_LIEU!$H$5:$S$10004,AK6,0))=0,0,MAX(0,IFERROR(ROUND(INDEX(CAU_HINH_CA!$C$5:$C$50,MATCH(INDEX(NHAP_LIEU!$D$5:$D$10004,AK6),CAU_HINH_CA!$A$5:$A$50,0))*INDEX(NHAP_LIEU!$E$5:$E$10004,AK6),0),0)-SUM(INDEX(NHAP_LIEU!$H$5:$S$10004,AK6,0)))))</f>
        <v>100</v>
      </c>
      <c r="Q6" s="20" t="n">
        <f aca="false">IF(C6="","",SUMIFS(MUC_TIEU_THANG!$C$5:$C$2004,MUC_TIEU_THANG!$B$5:$B$2004,C6,MUC_TIEU_THANG!$A$5:$A$2004,"&gt;="&amp;DATE(YEAR(A6),MONTH(A6),1),MUC_TIEU_THANG!$A$5:$A$2004,"&lt;"&amp;DATE(YEAR(A6),MONTH(A6)+1,1)))</f>
        <v>40000</v>
      </c>
      <c r="R6" s="20" t="n">
        <f aca="false">IF(C6="","",SUMPRODUCT((NHAP_LIEU!$C$5:$C$10004=C6)*(NHAP_LIEU!$A$5:$A$10004&gt;=DATE(YEAR(A6),MONTH(A6),1))*(NHAP_LIEU!$A$5:$A$10004&lt;=A6)*NHAP_LIEU!$H$5:$S$10004))</f>
        <v>1140</v>
      </c>
      <c r="S6" s="21" t="n">
        <f aca="false">IF(OR(R6="",N(Q6)=0),"",R6/Q6)</f>
        <v>0.0285</v>
      </c>
      <c r="T6" s="20" t="n">
        <f aca="false">IF(OR(R6="",N(Q6)=0),"",MAX(0,Q6-R6))</f>
        <v>38860</v>
      </c>
      <c r="U6" s="20" t="n">
        <f aca="false">IF(B6="","",SUMPRODUCT((NHAP_LIEU!$B$5:$B$10004=B6)*(NHAP_LIEU!$A$5:$A$10004&gt;=DATE(YEAR(A6),MONTH(A6),1))*(NHAP_LIEU!$A$5:$A$10004&lt;=A6)*NHAP_LIEU!$H$5:$S$10004))</f>
        <v>1140</v>
      </c>
      <c r="V6" s="20" t="n">
        <f aca="false">IF($AJ6="","",IF(INDEX(NHAP_LIEU!$H$5:$H$10004,$AJ6)="","",INDEX(NHAP_LIEU!$H$5:$H$10004,$AJ6)))</f>
        <v>80</v>
      </c>
      <c r="W6" s="20" t="n">
        <f aca="false">IF($AJ6="","",IF(INDEX(NHAP_LIEU!$I$5:$I$10004,$AJ6)="","",INDEX(NHAP_LIEU!$I$5:$I$10004,$AJ6)))</f>
        <v>80</v>
      </c>
      <c r="X6" s="20" t="n">
        <f aca="false">IF($AJ6="","",IF(INDEX(NHAP_LIEU!$J$5:$J$10004,$AJ6)="","",INDEX(NHAP_LIEU!$J$5:$J$10004,$AJ6)))</f>
        <v>80</v>
      </c>
      <c r="Y6" s="20" t="str">
        <f aca="false">IF($AJ6="","",IF(INDEX(NHAP_LIEU!$K$5:$K$10004,$AJ6)="","",INDEX(NHAP_LIEU!$K$5:$K$10004,$AJ6)))</f>
        <v/>
      </c>
      <c r="Z6" s="20" t="str">
        <f aca="false">IF($AJ6="","",IF(INDEX(NHAP_LIEU!$L$5:$L$10004,$AJ6)="","",INDEX(NHAP_LIEU!$L$5:$L$10004,$AJ6)))</f>
        <v/>
      </c>
      <c r="AA6" s="20" t="str">
        <f aca="false">IF($AJ6="","",IF(INDEX(NHAP_LIEU!$M$5:$M$10004,$AJ6)="","",INDEX(NHAP_LIEU!$M$5:$M$10004,$AJ6)))</f>
        <v/>
      </c>
      <c r="AB6" s="20" t="str">
        <f aca="false">IF($AJ6="","",IF(INDEX(NHAP_LIEU!$N$5:$N$10004,$AJ6)="","",INDEX(NHAP_LIEU!$N$5:$N$10004,$AJ6)))</f>
        <v/>
      </c>
      <c r="AC6" s="20" t="str">
        <f aca="false">IF($AJ6="","",IF(INDEX(NHAP_LIEU!$O$5:$O$10004,$AJ6)="","",INDEX(NHAP_LIEU!$O$5:$O$10004,$AJ6)))</f>
        <v/>
      </c>
      <c r="AD6" s="20" t="str">
        <f aca="false">IF($AJ6="","",IF(INDEX(NHAP_LIEU!$P$5:$P$10004,$AJ6)="","",INDEX(NHAP_LIEU!$P$5:$P$10004,$AJ6)))</f>
        <v/>
      </c>
      <c r="AE6" s="20" t="str">
        <f aca="false">IF($AJ6="","",IF(INDEX(NHAP_LIEU!$Q$5:$Q$10004,$AJ6)="","",INDEX(NHAP_LIEU!$Q$5:$Q$10004,$AJ6)))</f>
        <v/>
      </c>
      <c r="AF6" s="20" t="str">
        <f aca="false">IF($AJ6="","",IF(INDEX(NHAP_LIEU!$R$5:$R$10004,$AJ6)="","",INDEX(NHAP_LIEU!$R$5:$R$10004,$AJ6)))</f>
        <v/>
      </c>
      <c r="AG6" s="20" t="str">
        <f aca="false">IF($AJ6="","",IF(INDEX(NHAP_LIEU!$S$5:$S$10004,$AJ6)="","",INDEX(NHAP_LIEU!$S$5:$S$10004,$AJ6)))</f>
        <v/>
      </c>
      <c r="AH6" s="16" t="str">
        <f aca="false">IF($AJ6="","",IF(INDEX(NHAP_LIEU!$AC$5:$AC$10004,$AJ6)="","",INDEX(NHAP_LIEU!$AC$5:$AC$10004,$AJ6)))</f>
        <v/>
      </c>
      <c r="AI6" s="16" t="str">
        <f aca="false">IF($AJ6="","",IF(INDEX(NHAP_LIEU!$AD$5:$AD$10004,$AJ6)="","",INDEX(NHAP_LIEU!$AD$5:$AD$10004,$AJ6)))</f>
        <v/>
      </c>
      <c r="AJ6" s="23" t="n">
        <f aca="false">IF(OR(B6="",A6=""),"",IFERROR(MATCH(1,INDEX((NHAP_LIEU!$A$5:$A$10004=A6)*(NHAP_LIEU!$B$5:$B$10004=B6),0),0),""))</f>
        <v>12</v>
      </c>
      <c r="AK6" s="23" t="n">
        <f aca="false">IF(O6="","",IFERROR(MATCH(1,INDEX((NHAP_LIEU!$A$5:$A$10004=O6)*(NHAP_LIEU!$B$5:$B$10004=B6),0),0),""))</f>
        <v>9</v>
      </c>
      <c r="AL6" s="20" t="n">
        <f aca="false">IF(C6="","",SUMIFS(MUC_TIEU_THANG!$K$5:$K$2004,MUC_TIEU_THANG!$B$5:$B$2004,C6,MUC_TIEU_THANG!$A$5:$A$2004,"&gt;="&amp;DATE(YEAR(A6),MONTH(A6),1),MUC_TIEU_THANG!$A$5:$A$2004,"&lt;"&amp;DATE(YEAR(A6),MONTH(A6)+1,1)))</f>
        <v>38800</v>
      </c>
      <c r="AM6" s="23" t="n">
        <f aca="false">IF(A6="","",MAX(0,NETWORKDAYS.INTL(A6,EOMONTH(A6,0),11)-SUMPRODUCT((LICH_LAM_VIEC!$A$5:$A$1000&gt;=A6)*(LICH_LAM_VIEC!$A$5:$A$1000&lt;=EOMONTH(A6,0))*(LICH_LAM_VIEC!$B$5:$B$1000="Nghỉ")*(WEEKDAY(LICH_LAM_VIEC!$A$5:$A$1000)&lt;&gt;1))+SUMPRODUCT((LICH_LAM_VIEC!$A$5:$A$1000&gt;=A6)*(LICH_LAM_VIEC!$A$5:$A$1000&lt;=EOMONTH(A6,0))*(LICH_LAM_VIEC!$B$5:$B$1000="Làm bù")*(WEEKDAY(LICH_LAM_VIEC!$A$5:$A$1000)=1))))</f>
        <v>26</v>
      </c>
      <c r="AN6" s="20" t="n">
        <f aca="false">IF(OR(C6="",N(Q6)=0,N(AM6)=0),"",ROUNDUP(MAX(0,Q6-SUMPRODUCT((NHAP_LIEU!$C$5:$C$10004=C6)*(NHAP_LIEU!$A$5:$A$10004&gt;=DATE(YEAR(A6),MONTH(A6),1))*(NHAP_LIEU!$A$5:$A$10004&lt;A6)*NHAP_LIEU!$H$5:$S$10004))/AM6,0))</f>
        <v>1504</v>
      </c>
      <c r="AO6" s="23" t="n">
        <f aca="false">IF($AJ6="","",IF(INDEX(NHAP_LIEU!$AG$5:$AG$10004,$AJ6)="","",INDEX(NHAP_LIEU!$AG$5:$AG$10004,$AJ6)))</f>
        <v>25</v>
      </c>
      <c r="AP6" s="26" t="n">
        <f aca="false">IF(OR(H6="",N(AO6)=0,N(L6)=0),"",H6/(AO6*L6))</f>
        <v>3.2</v>
      </c>
      <c r="AQ6" s="20" t="n">
        <f aca="false">IF($AJ6="","",IF(INDEX(NHAP_LIEU!$AH$5:$AH$10004,$AJ6)="","",INDEX(NHAP_LIEU!$AH$5:$AH$10004,$AJ6)))</f>
        <v>1</v>
      </c>
      <c r="AR6" s="27" t="n">
        <f aca="false">IF(OR(AQ6="",N(H6)=0),"",AQ6/H6)</f>
        <v>0.00416666666666667</v>
      </c>
      <c r="AS6" s="16" t="str">
        <f aca="false">IF($AJ6="","",IF(INDEX(NHAP_LIEU!$AI$5:$AI$10004,$AJ6)="","",INDEX(NHAP_LIEU!$AI$5:$AI$10004,$AJ6)))</f>
        <v/>
      </c>
      <c r="AT6" s="23" t="str">
        <f aca="false">IF($AJ6="","",IF(INDEX(NHAP_LIEU!$AJ$5:$AJ$10004,$AJ6)="","",INDEX(NHAP_LIEU!$AJ$5:$AJ$10004,$AJ6)))</f>
        <v/>
      </c>
    </row>
    <row r="7" customFormat="false" ht="15" hidden="false" customHeight="false" outlineLevel="0" collapsed="false">
      <c r="A7" s="33" t="n">
        <f aca="false">IF(B7="","",$M$1)</f>
        <v>46297</v>
      </c>
      <c r="B7" s="16" t="str">
        <f aca="false">IF(DANH_SACH_CHUYEN!B7="","",DANH_SACH_CHUYEN!B7)</f>
        <v>Chuyền 3</v>
      </c>
      <c r="C7" s="34" t="str">
        <f aca="false">IF($AJ7="","",IF(INDEX(NHAP_LIEU!$C$5:$C$10004,$AJ7)="","",INDEX(NHAP_LIEU!$C$5:$C$10004,$AJ7)))</f>
        <v/>
      </c>
      <c r="D7" s="16" t="str">
        <f aca="false">IF($AJ7="","",IF(INDEX(NHAP_LIEU!$D$5:$D$10004,$AJ7)="","",INDEX(NHAP_LIEU!$D$5:$D$10004,$AJ7)))</f>
        <v/>
      </c>
      <c r="E7" s="13" t="str">
        <f aca="false">IF(D7="","",IFERROR(INDEX(CAU_HINH_CA!$C$5:$C$50,MATCH(D7,CAU_HINH_CA!$A$5:$A$50,0)),""))</f>
        <v/>
      </c>
      <c r="F7" s="20" t="str">
        <f aca="false">IF($AJ7="","",IF(INDEX(NHAP_LIEU!$E$5:$E$10004,$AJ7)="","",INDEX(NHAP_LIEU!$E$5:$E$10004,$AJ7)))</f>
        <v/>
      </c>
      <c r="G7" s="20" t="str">
        <f aca="false">IF(OR(E7="",F7=""),"",ROUND(E7*F7,0))</f>
        <v/>
      </c>
      <c r="H7" s="20" t="str">
        <f aca="false">IF(COUNT(V7:AG7)=0,"",SUM(V7:AG7))</f>
        <v/>
      </c>
      <c r="I7" s="21" t="str">
        <f aca="false">IF(OR(H7="",N(G7)=0),"",H7/G7)</f>
        <v/>
      </c>
      <c r="J7" s="22" t="str">
        <f aca="false">IF(OR(H7="",G7=""),"",H7-G7)</f>
        <v/>
      </c>
      <c r="K7" s="20" t="str">
        <f aca="false">IF(OR(H7="",G7=""),"",MAX(0,G7-H7))</f>
        <v/>
      </c>
      <c r="L7" s="23" t="str">
        <f aca="false">IF(AJ7="","",COUNT(V7:AG7))</f>
        <v/>
      </c>
      <c r="M7" s="20" t="str">
        <f aca="false">IF(OR(L7="",F7="",G7=""),"",MIN(G7,L7*F7))</f>
        <v/>
      </c>
      <c r="N7" s="21" t="str">
        <f aca="false">IF(OR(H7="",N(M7)=0),"",H7/M7)</f>
        <v/>
      </c>
      <c r="O7" s="24" t="n">
        <f aca="false">IF(OR(B7="",A7=""),"",IF(SUMPRODUCT(MAX((NHAP_LIEU!$B$5:$B$10004=B7)*(NHAP_LIEU!$A$5:$A$10004&lt;A7)*NHAP_LIEU!$A$5:$A$10004))=0,"",SUMPRODUCT(MAX((NHAP_LIEU!$B$5:$B$10004=B7)*(NHAP_LIEU!$A$5:$A$10004&lt;A7)*NHAP_LIEU!$A$5:$A$10004))))</f>
        <v>46296</v>
      </c>
      <c r="P7" s="20" t="n">
        <f aca="false">IF(AK7="","",IF(COUNT(INDEX(NHAP_LIEU!$H$5:$S$10004,AK7,0))=0,0,MAX(0,IFERROR(ROUND(INDEX(CAU_HINH_CA!$C$5:$C$50,MATCH(INDEX(NHAP_LIEU!$D$5:$D$10004,AK7),CAU_HINH_CA!$A$5:$A$50,0))*INDEX(NHAP_LIEU!$E$5:$E$10004,AK7),0),0)-SUM(INDEX(NHAP_LIEU!$H$5:$S$10004,AK7,0)))))</f>
        <v>93</v>
      </c>
      <c r="Q7" s="20" t="str">
        <f aca="false">IF(C7="","",SUMIFS(MUC_TIEU_THANG!$C$5:$C$2004,MUC_TIEU_THANG!$B$5:$B$2004,C7,MUC_TIEU_THANG!$A$5:$A$2004,"&gt;="&amp;DATE(YEAR(A7),MONTH(A7),1),MUC_TIEU_THANG!$A$5:$A$2004,"&lt;"&amp;DATE(YEAR(A7),MONTH(A7)+1,1)))</f>
        <v/>
      </c>
      <c r="R7" s="20" t="str">
        <f aca="false">IF(C7="","",SUMPRODUCT((NHAP_LIEU!$C$5:$C$10004=C7)*(NHAP_LIEU!$A$5:$A$10004&gt;=DATE(YEAR(A7),MONTH(A7),1))*(NHAP_LIEU!$A$5:$A$10004&lt;=A7)*NHAP_LIEU!$H$5:$S$10004))</f>
        <v/>
      </c>
      <c r="S7" s="21" t="str">
        <f aca="false">IF(OR(R7="",N(Q7)=0),"",R7/Q7)</f>
        <v/>
      </c>
      <c r="T7" s="20" t="str">
        <f aca="false">IF(OR(R7="",N(Q7)=0),"",MAX(0,Q7-R7))</f>
        <v/>
      </c>
      <c r="U7" s="20" t="n">
        <f aca="false">IF(B7="","",SUMPRODUCT((NHAP_LIEU!$B$5:$B$10004=B7)*(NHAP_LIEU!$A$5:$A$10004&gt;=DATE(YEAR(A7),MONTH(A7),1))*(NHAP_LIEU!$A$5:$A$10004&lt;=A7)*NHAP_LIEU!$H$5:$S$10004))</f>
        <v>2035</v>
      </c>
      <c r="V7" s="20" t="str">
        <f aca="false">IF($AJ7="","",IF(INDEX(NHAP_LIEU!$H$5:$H$10004,$AJ7)="","",INDEX(NHAP_LIEU!$H$5:$H$10004,$AJ7)))</f>
        <v/>
      </c>
      <c r="W7" s="20" t="str">
        <f aca="false">IF($AJ7="","",IF(INDEX(NHAP_LIEU!$I$5:$I$10004,$AJ7)="","",INDEX(NHAP_LIEU!$I$5:$I$10004,$AJ7)))</f>
        <v/>
      </c>
      <c r="X7" s="20" t="str">
        <f aca="false">IF($AJ7="","",IF(INDEX(NHAP_LIEU!$J$5:$J$10004,$AJ7)="","",INDEX(NHAP_LIEU!$J$5:$J$10004,$AJ7)))</f>
        <v/>
      </c>
      <c r="Y7" s="20" t="str">
        <f aca="false">IF($AJ7="","",IF(INDEX(NHAP_LIEU!$K$5:$K$10004,$AJ7)="","",INDEX(NHAP_LIEU!$K$5:$K$10004,$AJ7)))</f>
        <v/>
      </c>
      <c r="Z7" s="20" t="str">
        <f aca="false">IF($AJ7="","",IF(INDEX(NHAP_LIEU!$L$5:$L$10004,$AJ7)="","",INDEX(NHAP_LIEU!$L$5:$L$10004,$AJ7)))</f>
        <v/>
      </c>
      <c r="AA7" s="20" t="str">
        <f aca="false">IF($AJ7="","",IF(INDEX(NHAP_LIEU!$M$5:$M$10004,$AJ7)="","",INDEX(NHAP_LIEU!$M$5:$M$10004,$AJ7)))</f>
        <v/>
      </c>
      <c r="AB7" s="20" t="str">
        <f aca="false">IF($AJ7="","",IF(INDEX(NHAP_LIEU!$N$5:$N$10004,$AJ7)="","",INDEX(NHAP_LIEU!$N$5:$N$10004,$AJ7)))</f>
        <v/>
      </c>
      <c r="AC7" s="20" t="str">
        <f aca="false">IF($AJ7="","",IF(INDEX(NHAP_LIEU!$O$5:$O$10004,$AJ7)="","",INDEX(NHAP_LIEU!$O$5:$O$10004,$AJ7)))</f>
        <v/>
      </c>
      <c r="AD7" s="20" t="str">
        <f aca="false">IF($AJ7="","",IF(INDEX(NHAP_LIEU!$P$5:$P$10004,$AJ7)="","",INDEX(NHAP_LIEU!$P$5:$P$10004,$AJ7)))</f>
        <v/>
      </c>
      <c r="AE7" s="20" t="str">
        <f aca="false">IF($AJ7="","",IF(INDEX(NHAP_LIEU!$Q$5:$Q$10004,$AJ7)="","",INDEX(NHAP_LIEU!$Q$5:$Q$10004,$AJ7)))</f>
        <v/>
      </c>
      <c r="AF7" s="20" t="str">
        <f aca="false">IF($AJ7="","",IF(INDEX(NHAP_LIEU!$R$5:$R$10004,$AJ7)="","",INDEX(NHAP_LIEU!$R$5:$R$10004,$AJ7)))</f>
        <v/>
      </c>
      <c r="AG7" s="20" t="str">
        <f aca="false">IF($AJ7="","",IF(INDEX(NHAP_LIEU!$S$5:$S$10004,$AJ7)="","",INDEX(NHAP_LIEU!$S$5:$S$10004,$AJ7)))</f>
        <v/>
      </c>
      <c r="AH7" s="16" t="str">
        <f aca="false">IF($AJ7="","",IF(INDEX(NHAP_LIEU!$AC$5:$AC$10004,$AJ7)="","",INDEX(NHAP_LIEU!$AC$5:$AC$10004,$AJ7)))</f>
        <v/>
      </c>
      <c r="AI7" s="16" t="str">
        <f aca="false">IF($AJ7="","",IF(INDEX(NHAP_LIEU!$AD$5:$AD$10004,$AJ7)="","",INDEX(NHAP_LIEU!$AD$5:$AD$10004,$AJ7)))</f>
        <v/>
      </c>
      <c r="AJ7" s="23" t="str">
        <f aca="false">IF(OR(B7="",A7=""),"",IFERROR(MATCH(1,INDEX((NHAP_LIEU!$A$5:$A$10004=A7)*(NHAP_LIEU!$B$5:$B$10004=B7),0),0),""))</f>
        <v/>
      </c>
      <c r="AK7" s="23" t="n">
        <f aca="false">IF(O7="","",IFERROR(MATCH(1,INDEX((NHAP_LIEU!$A$5:$A$10004=O7)*(NHAP_LIEU!$B$5:$B$10004=B7),0),0),""))</f>
        <v>10</v>
      </c>
      <c r="AL7" s="20" t="str">
        <f aca="false">IF(C7="","",SUMIFS(MUC_TIEU_THANG!$K$5:$K$2004,MUC_TIEU_THANG!$B$5:$B$2004,C7,MUC_TIEU_THANG!$A$5:$A$2004,"&gt;="&amp;DATE(YEAR(A7),MONTH(A7),1),MUC_TIEU_THANG!$A$5:$A$2004,"&lt;"&amp;DATE(YEAR(A7),MONTH(A7)+1,1)))</f>
        <v/>
      </c>
      <c r="AM7" s="23" t="n">
        <f aca="false">IF(A7="","",MAX(0,NETWORKDAYS.INTL(A7,EOMONTH(A7,0),11)-SUMPRODUCT((LICH_LAM_VIEC!$A$5:$A$1000&gt;=A7)*(LICH_LAM_VIEC!$A$5:$A$1000&lt;=EOMONTH(A7,0))*(LICH_LAM_VIEC!$B$5:$B$1000="Nghỉ")*(WEEKDAY(LICH_LAM_VIEC!$A$5:$A$1000)&lt;&gt;1))+SUMPRODUCT((LICH_LAM_VIEC!$A$5:$A$1000&gt;=A7)*(LICH_LAM_VIEC!$A$5:$A$1000&lt;=EOMONTH(A7,0))*(LICH_LAM_VIEC!$B$5:$B$1000="Làm bù")*(WEEKDAY(LICH_LAM_VIEC!$A$5:$A$1000)=1))))</f>
        <v>26</v>
      </c>
      <c r="AN7" s="20" t="str">
        <f aca="false">IF(OR(C7="",N(Q7)=0,N(AM7)=0),"",ROUNDUP(MAX(0,Q7-SUMPRODUCT((NHAP_LIEU!$C$5:$C$10004=C7)*(NHAP_LIEU!$A$5:$A$10004&gt;=DATE(YEAR(A7),MONTH(A7),1))*(NHAP_LIEU!$A$5:$A$10004&lt;A7)*NHAP_LIEU!$H$5:$S$10004))/AM7,0))</f>
        <v/>
      </c>
      <c r="AO7" s="23" t="str">
        <f aca="false">IF($AJ7="","",IF(INDEX(NHAP_LIEU!$AG$5:$AG$10004,$AJ7)="","",INDEX(NHAP_LIEU!$AG$5:$AG$10004,$AJ7)))</f>
        <v/>
      </c>
      <c r="AP7" s="26" t="str">
        <f aca="false">IF(OR(H7="",N(AO7)=0,N(L7)=0),"",H7/(AO7*L7))</f>
        <v/>
      </c>
      <c r="AQ7" s="20" t="str">
        <f aca="false">IF($AJ7="","",IF(INDEX(NHAP_LIEU!$AH$5:$AH$10004,$AJ7)="","",INDEX(NHAP_LIEU!$AH$5:$AH$10004,$AJ7)))</f>
        <v/>
      </c>
      <c r="AR7" s="27" t="str">
        <f aca="false">IF(OR(AQ7="",N(H7)=0),"",AQ7/H7)</f>
        <v/>
      </c>
      <c r="AS7" s="16" t="str">
        <f aca="false">IF($AJ7="","",IF(INDEX(NHAP_LIEU!$AI$5:$AI$10004,$AJ7)="","",INDEX(NHAP_LIEU!$AI$5:$AI$10004,$AJ7)))</f>
        <v/>
      </c>
      <c r="AT7" s="23" t="str">
        <f aca="false">IF($AJ7="","",IF(INDEX(NHAP_LIEU!$AJ$5:$AJ$10004,$AJ7)="","",INDEX(NHAP_LIEU!$AJ$5:$AJ$10004,$AJ7)))</f>
        <v/>
      </c>
    </row>
    <row r="8" customFormat="false" ht="15" hidden="false" customHeight="false" outlineLevel="0" collapsed="false">
      <c r="A8" s="33" t="n">
        <f aca="false">IF(B8="","",$M$1)</f>
        <v>46297</v>
      </c>
      <c r="B8" s="16" t="str">
        <f aca="false">IF(DANH_SACH_CHUYEN!B8="","",DANH_SACH_CHUYEN!B8)</f>
        <v>Chuyền 4</v>
      </c>
      <c r="C8" s="34" t="str">
        <f aca="false">IF($AJ8="","",IF(INDEX(NHAP_LIEU!$C$5:$C$10004,$AJ8)="","",INDEX(NHAP_LIEU!$C$5:$C$10004,$AJ8)))</f>
        <v/>
      </c>
      <c r="D8" s="16" t="str">
        <f aca="false">IF($AJ8="","",IF(INDEX(NHAP_LIEU!$D$5:$D$10004,$AJ8)="","",INDEX(NHAP_LIEU!$D$5:$D$10004,$AJ8)))</f>
        <v/>
      </c>
      <c r="E8" s="13" t="str">
        <f aca="false">IF(D8="","",IFERROR(INDEX(CAU_HINH_CA!$C$5:$C$50,MATCH(D8,CAU_HINH_CA!$A$5:$A$50,0)),""))</f>
        <v/>
      </c>
      <c r="F8" s="20" t="str">
        <f aca="false">IF($AJ8="","",IF(INDEX(NHAP_LIEU!$E$5:$E$10004,$AJ8)="","",INDEX(NHAP_LIEU!$E$5:$E$10004,$AJ8)))</f>
        <v/>
      </c>
      <c r="G8" s="20" t="str">
        <f aca="false">IF(OR(E8="",F8=""),"",ROUND(E8*F8,0))</f>
        <v/>
      </c>
      <c r="H8" s="20" t="str">
        <f aca="false">IF(COUNT(V8:AG8)=0,"",SUM(V8:AG8))</f>
        <v/>
      </c>
      <c r="I8" s="21" t="str">
        <f aca="false">IF(OR(H8="",N(G8)=0),"",H8/G8)</f>
        <v/>
      </c>
      <c r="J8" s="22" t="str">
        <f aca="false">IF(OR(H8="",G8=""),"",H8-G8)</f>
        <v/>
      </c>
      <c r="K8" s="20" t="str">
        <f aca="false">IF(OR(H8="",G8=""),"",MAX(0,G8-H8))</f>
        <v/>
      </c>
      <c r="L8" s="23" t="str">
        <f aca="false">IF(AJ8="","",COUNT(V8:AG8))</f>
        <v/>
      </c>
      <c r="M8" s="20" t="str">
        <f aca="false">IF(OR(L8="",F8="",G8=""),"",MIN(G8,L8*F8))</f>
        <v/>
      </c>
      <c r="N8" s="21" t="str">
        <f aca="false">IF(OR(H8="",N(M8)=0),"",H8/M8)</f>
        <v/>
      </c>
      <c r="O8" s="24" t="n">
        <f aca="false">IF(OR(B8="",A8=""),"",IF(SUMPRODUCT(MAX((NHAP_LIEU!$B$5:$B$10004=B8)*(NHAP_LIEU!$A$5:$A$10004&lt;A8)*NHAP_LIEU!$A$5:$A$10004))=0,"",SUMPRODUCT(MAX((NHAP_LIEU!$B$5:$B$10004=B8)*(NHAP_LIEU!$A$5:$A$10004&lt;A8)*NHAP_LIEU!$A$5:$A$10004))))</f>
        <v>46295</v>
      </c>
      <c r="P8" s="20" t="n">
        <f aca="false">IF(AK8="","",IF(COUNT(INDEX(NHAP_LIEU!$H$5:$S$10004,AK8,0))=0,0,MAX(0,IFERROR(ROUND(INDEX(CAU_HINH_CA!$C$5:$C$50,MATCH(INDEX(NHAP_LIEU!$D$5:$D$10004,AK8),CAU_HINH_CA!$A$5:$A$50,0))*INDEX(NHAP_LIEU!$E$5:$E$10004,AK8),0),0)-SUM(INDEX(NHAP_LIEU!$H$5:$S$10004,AK8,0)))))</f>
        <v>0</v>
      </c>
      <c r="Q8" s="20" t="str">
        <f aca="false">IF(C8="","",SUMIFS(MUC_TIEU_THANG!$C$5:$C$2004,MUC_TIEU_THANG!$B$5:$B$2004,C8,MUC_TIEU_THANG!$A$5:$A$2004,"&gt;="&amp;DATE(YEAR(A8),MONTH(A8),1),MUC_TIEU_THANG!$A$5:$A$2004,"&lt;"&amp;DATE(YEAR(A8),MONTH(A8)+1,1)))</f>
        <v/>
      </c>
      <c r="R8" s="20" t="str">
        <f aca="false">IF(C8="","",SUMPRODUCT((NHAP_LIEU!$C$5:$C$10004=C8)*(NHAP_LIEU!$A$5:$A$10004&gt;=DATE(YEAR(A8),MONTH(A8),1))*(NHAP_LIEU!$A$5:$A$10004&lt;=A8)*NHAP_LIEU!$H$5:$S$10004))</f>
        <v/>
      </c>
      <c r="S8" s="21" t="str">
        <f aca="false">IF(OR(R8="",N(Q8)=0),"",R8/Q8)</f>
        <v/>
      </c>
      <c r="T8" s="20" t="str">
        <f aca="false">IF(OR(R8="",N(Q8)=0),"",MAX(0,Q8-R8))</f>
        <v/>
      </c>
      <c r="U8" s="20" t="n">
        <f aca="false">IF(B8="","",SUMPRODUCT((NHAP_LIEU!$B$5:$B$10004=B8)*(NHAP_LIEU!$A$5:$A$10004&gt;=DATE(YEAR(A8),MONTH(A8),1))*(NHAP_LIEU!$A$5:$A$10004&lt;=A8)*NHAP_LIEU!$H$5:$S$10004))</f>
        <v>0</v>
      </c>
      <c r="V8" s="20" t="str">
        <f aca="false">IF($AJ8="","",IF(INDEX(NHAP_LIEU!$H$5:$H$10004,$AJ8)="","",INDEX(NHAP_LIEU!$H$5:$H$10004,$AJ8)))</f>
        <v/>
      </c>
      <c r="W8" s="20" t="str">
        <f aca="false">IF($AJ8="","",IF(INDEX(NHAP_LIEU!$I$5:$I$10004,$AJ8)="","",INDEX(NHAP_LIEU!$I$5:$I$10004,$AJ8)))</f>
        <v/>
      </c>
      <c r="X8" s="20" t="str">
        <f aca="false">IF($AJ8="","",IF(INDEX(NHAP_LIEU!$J$5:$J$10004,$AJ8)="","",INDEX(NHAP_LIEU!$J$5:$J$10004,$AJ8)))</f>
        <v/>
      </c>
      <c r="Y8" s="20" t="str">
        <f aca="false">IF($AJ8="","",IF(INDEX(NHAP_LIEU!$K$5:$K$10004,$AJ8)="","",INDEX(NHAP_LIEU!$K$5:$K$10004,$AJ8)))</f>
        <v/>
      </c>
      <c r="Z8" s="20" t="str">
        <f aca="false">IF($AJ8="","",IF(INDEX(NHAP_LIEU!$L$5:$L$10004,$AJ8)="","",INDEX(NHAP_LIEU!$L$5:$L$10004,$AJ8)))</f>
        <v/>
      </c>
      <c r="AA8" s="20" t="str">
        <f aca="false">IF($AJ8="","",IF(INDEX(NHAP_LIEU!$M$5:$M$10004,$AJ8)="","",INDEX(NHAP_LIEU!$M$5:$M$10004,$AJ8)))</f>
        <v/>
      </c>
      <c r="AB8" s="20" t="str">
        <f aca="false">IF($AJ8="","",IF(INDEX(NHAP_LIEU!$N$5:$N$10004,$AJ8)="","",INDEX(NHAP_LIEU!$N$5:$N$10004,$AJ8)))</f>
        <v/>
      </c>
      <c r="AC8" s="20" t="str">
        <f aca="false">IF($AJ8="","",IF(INDEX(NHAP_LIEU!$O$5:$O$10004,$AJ8)="","",INDEX(NHAP_LIEU!$O$5:$O$10004,$AJ8)))</f>
        <v/>
      </c>
      <c r="AD8" s="20" t="str">
        <f aca="false">IF($AJ8="","",IF(INDEX(NHAP_LIEU!$P$5:$P$10004,$AJ8)="","",INDEX(NHAP_LIEU!$P$5:$P$10004,$AJ8)))</f>
        <v/>
      </c>
      <c r="AE8" s="20" t="str">
        <f aca="false">IF($AJ8="","",IF(INDEX(NHAP_LIEU!$Q$5:$Q$10004,$AJ8)="","",INDEX(NHAP_LIEU!$Q$5:$Q$10004,$AJ8)))</f>
        <v/>
      </c>
      <c r="AF8" s="20" t="str">
        <f aca="false">IF($AJ8="","",IF(INDEX(NHAP_LIEU!$R$5:$R$10004,$AJ8)="","",INDEX(NHAP_LIEU!$R$5:$R$10004,$AJ8)))</f>
        <v/>
      </c>
      <c r="AG8" s="20" t="str">
        <f aca="false">IF($AJ8="","",IF(INDEX(NHAP_LIEU!$S$5:$S$10004,$AJ8)="","",INDEX(NHAP_LIEU!$S$5:$S$10004,$AJ8)))</f>
        <v/>
      </c>
      <c r="AH8" s="16" t="str">
        <f aca="false">IF($AJ8="","",IF(INDEX(NHAP_LIEU!$AC$5:$AC$10004,$AJ8)="","",INDEX(NHAP_LIEU!$AC$5:$AC$10004,$AJ8)))</f>
        <v/>
      </c>
      <c r="AI8" s="16" t="str">
        <f aca="false">IF($AJ8="","",IF(INDEX(NHAP_LIEU!$AD$5:$AD$10004,$AJ8)="","",INDEX(NHAP_LIEU!$AD$5:$AD$10004,$AJ8)))</f>
        <v/>
      </c>
      <c r="AJ8" s="23" t="str">
        <f aca="false">IF(OR(B8="",A8=""),"",IFERROR(MATCH(1,INDEX((NHAP_LIEU!$A$5:$A$10004=A8)*(NHAP_LIEU!$B$5:$B$10004=B8),0),0),""))</f>
        <v/>
      </c>
      <c r="AK8" s="23" t="n">
        <f aca="false">IF(O8="","",IFERROR(MATCH(1,INDEX((NHAP_LIEU!$A$5:$A$10004=O8)*(NHAP_LIEU!$B$5:$B$10004=B8),0),0),""))</f>
        <v>4</v>
      </c>
      <c r="AL8" s="20" t="str">
        <f aca="false">IF(C8="","",SUMIFS(MUC_TIEU_THANG!$K$5:$K$2004,MUC_TIEU_THANG!$B$5:$B$2004,C8,MUC_TIEU_THANG!$A$5:$A$2004,"&gt;="&amp;DATE(YEAR(A8),MONTH(A8),1),MUC_TIEU_THANG!$A$5:$A$2004,"&lt;"&amp;DATE(YEAR(A8),MONTH(A8)+1,1)))</f>
        <v/>
      </c>
      <c r="AM8" s="23" t="n">
        <f aca="false">IF(A8="","",MAX(0,NETWORKDAYS.INTL(A8,EOMONTH(A8,0),11)-SUMPRODUCT((LICH_LAM_VIEC!$A$5:$A$1000&gt;=A8)*(LICH_LAM_VIEC!$A$5:$A$1000&lt;=EOMONTH(A8,0))*(LICH_LAM_VIEC!$B$5:$B$1000="Nghỉ")*(WEEKDAY(LICH_LAM_VIEC!$A$5:$A$1000)&lt;&gt;1))+SUMPRODUCT((LICH_LAM_VIEC!$A$5:$A$1000&gt;=A8)*(LICH_LAM_VIEC!$A$5:$A$1000&lt;=EOMONTH(A8,0))*(LICH_LAM_VIEC!$B$5:$B$1000="Làm bù")*(WEEKDAY(LICH_LAM_VIEC!$A$5:$A$1000)=1))))</f>
        <v>26</v>
      </c>
      <c r="AN8" s="20" t="str">
        <f aca="false">IF(OR(C8="",N(Q8)=0,N(AM8)=0),"",ROUNDUP(MAX(0,Q8-SUMPRODUCT((NHAP_LIEU!$C$5:$C$10004=C8)*(NHAP_LIEU!$A$5:$A$10004&gt;=DATE(YEAR(A8),MONTH(A8),1))*(NHAP_LIEU!$A$5:$A$10004&lt;A8)*NHAP_LIEU!$H$5:$S$10004))/AM8,0))</f>
        <v/>
      </c>
      <c r="AO8" s="23" t="str">
        <f aca="false">IF($AJ8="","",IF(INDEX(NHAP_LIEU!$AG$5:$AG$10004,$AJ8)="","",INDEX(NHAP_LIEU!$AG$5:$AG$10004,$AJ8)))</f>
        <v/>
      </c>
      <c r="AP8" s="26" t="str">
        <f aca="false">IF(OR(H8="",N(AO8)=0,N(L8)=0),"",H8/(AO8*L8))</f>
        <v/>
      </c>
      <c r="AQ8" s="20" t="str">
        <f aca="false">IF($AJ8="","",IF(INDEX(NHAP_LIEU!$AH$5:$AH$10004,$AJ8)="","",INDEX(NHAP_LIEU!$AH$5:$AH$10004,$AJ8)))</f>
        <v/>
      </c>
      <c r="AR8" s="27" t="str">
        <f aca="false">IF(OR(AQ8="",N(H8)=0),"",AQ8/H8)</f>
        <v/>
      </c>
      <c r="AS8" s="16" t="str">
        <f aca="false">IF($AJ8="","",IF(INDEX(NHAP_LIEU!$AI$5:$AI$10004,$AJ8)="","",INDEX(NHAP_LIEU!$AI$5:$AI$10004,$AJ8)))</f>
        <v/>
      </c>
      <c r="AT8" s="23" t="str">
        <f aca="false">IF($AJ8="","",IF(INDEX(NHAP_LIEU!$AJ$5:$AJ$10004,$AJ8)="","",INDEX(NHAP_LIEU!$AJ$5:$AJ$10004,$AJ8)))</f>
        <v/>
      </c>
    </row>
    <row r="9" customFormat="false" ht="15" hidden="false" customHeight="false" outlineLevel="0" collapsed="false">
      <c r="A9" s="33" t="n">
        <f aca="false">IF(B9="","",$M$1)</f>
        <v>46297</v>
      </c>
      <c r="B9" s="16" t="str">
        <f aca="false">IF(DANH_SACH_CHUYEN!B9="","",DANH_SACH_CHUYEN!B9)</f>
        <v>Chuyền 5</v>
      </c>
      <c r="C9" s="34" t="str">
        <f aca="false">IF($AJ9="","",IF(INDEX(NHAP_LIEU!$C$5:$C$10004,$AJ9)="","",INDEX(NHAP_LIEU!$C$5:$C$10004,$AJ9)))</f>
        <v/>
      </c>
      <c r="D9" s="16" t="str">
        <f aca="false">IF($AJ9="","",IF(INDEX(NHAP_LIEU!$D$5:$D$10004,$AJ9)="","",INDEX(NHAP_LIEU!$D$5:$D$10004,$AJ9)))</f>
        <v/>
      </c>
      <c r="E9" s="13" t="str">
        <f aca="false">IF(D9="","",IFERROR(INDEX(CAU_HINH_CA!$C$5:$C$50,MATCH(D9,CAU_HINH_CA!$A$5:$A$50,0)),""))</f>
        <v/>
      </c>
      <c r="F9" s="20" t="str">
        <f aca="false">IF($AJ9="","",IF(INDEX(NHAP_LIEU!$E$5:$E$10004,$AJ9)="","",INDEX(NHAP_LIEU!$E$5:$E$10004,$AJ9)))</f>
        <v/>
      </c>
      <c r="G9" s="20" t="str">
        <f aca="false">IF(OR(E9="",F9=""),"",ROUND(E9*F9,0))</f>
        <v/>
      </c>
      <c r="H9" s="20" t="str">
        <f aca="false">IF(COUNT(V9:AG9)=0,"",SUM(V9:AG9))</f>
        <v/>
      </c>
      <c r="I9" s="21" t="str">
        <f aca="false">IF(OR(H9="",N(G9)=0),"",H9/G9)</f>
        <v/>
      </c>
      <c r="J9" s="22" t="str">
        <f aca="false">IF(OR(H9="",G9=""),"",H9-G9)</f>
        <v/>
      </c>
      <c r="K9" s="20" t="str">
        <f aca="false">IF(OR(H9="",G9=""),"",MAX(0,G9-H9))</f>
        <v/>
      </c>
      <c r="L9" s="23" t="str">
        <f aca="false">IF(AJ9="","",COUNT(V9:AG9))</f>
        <v/>
      </c>
      <c r="M9" s="20" t="str">
        <f aca="false">IF(OR(L9="",F9="",G9=""),"",MIN(G9,L9*F9))</f>
        <v/>
      </c>
      <c r="N9" s="21" t="str">
        <f aca="false">IF(OR(H9="",N(M9)=0),"",H9/M9)</f>
        <v/>
      </c>
      <c r="O9" s="24" t="str">
        <f aca="false">IF(OR(B9="",A9=""),"",IF(SUMPRODUCT(MAX((NHAP_LIEU!$B$5:$B$10004=B9)*(NHAP_LIEU!$A$5:$A$10004&lt;A9)*NHAP_LIEU!$A$5:$A$10004))=0,"",SUMPRODUCT(MAX((NHAP_LIEU!$B$5:$B$10004=B9)*(NHAP_LIEU!$A$5:$A$10004&lt;A9)*NHAP_LIEU!$A$5:$A$10004))))</f>
        <v/>
      </c>
      <c r="P9" s="20" t="str">
        <f aca="false">IF(AK9="","",IF(COUNT(INDEX(NHAP_LIEU!$H$5:$S$10004,AK9,0))=0,0,MAX(0,IFERROR(ROUND(INDEX(CAU_HINH_CA!$C$5:$C$50,MATCH(INDEX(NHAP_LIEU!$D$5:$D$10004,AK9),CAU_HINH_CA!$A$5:$A$50,0))*INDEX(NHAP_LIEU!$E$5:$E$10004,AK9),0),0)-SUM(INDEX(NHAP_LIEU!$H$5:$S$10004,AK9,0)))))</f>
        <v/>
      </c>
      <c r="Q9" s="20" t="str">
        <f aca="false">IF(C9="","",SUMIFS(MUC_TIEU_THANG!$C$5:$C$2004,MUC_TIEU_THANG!$B$5:$B$2004,C9,MUC_TIEU_THANG!$A$5:$A$2004,"&gt;="&amp;DATE(YEAR(A9),MONTH(A9),1),MUC_TIEU_THANG!$A$5:$A$2004,"&lt;"&amp;DATE(YEAR(A9),MONTH(A9)+1,1)))</f>
        <v/>
      </c>
      <c r="R9" s="20" t="str">
        <f aca="false">IF(C9="","",SUMPRODUCT((NHAP_LIEU!$C$5:$C$10004=C9)*(NHAP_LIEU!$A$5:$A$10004&gt;=DATE(YEAR(A9),MONTH(A9),1))*(NHAP_LIEU!$A$5:$A$10004&lt;=A9)*NHAP_LIEU!$H$5:$S$10004))</f>
        <v/>
      </c>
      <c r="S9" s="21" t="str">
        <f aca="false">IF(OR(R9="",N(Q9)=0),"",R9/Q9)</f>
        <v/>
      </c>
      <c r="T9" s="20" t="str">
        <f aca="false">IF(OR(R9="",N(Q9)=0),"",MAX(0,Q9-R9))</f>
        <v/>
      </c>
      <c r="U9" s="20" t="n">
        <f aca="false">IF(B9="","",SUMPRODUCT((NHAP_LIEU!$B$5:$B$10004=B9)*(NHAP_LIEU!$A$5:$A$10004&gt;=DATE(YEAR(A9),MONTH(A9),1))*(NHAP_LIEU!$A$5:$A$10004&lt;=A9)*NHAP_LIEU!$H$5:$S$10004))</f>
        <v>0</v>
      </c>
      <c r="V9" s="20" t="str">
        <f aca="false">IF($AJ9="","",IF(INDEX(NHAP_LIEU!$H$5:$H$10004,$AJ9)="","",INDEX(NHAP_LIEU!$H$5:$H$10004,$AJ9)))</f>
        <v/>
      </c>
      <c r="W9" s="20" t="str">
        <f aca="false">IF($AJ9="","",IF(INDEX(NHAP_LIEU!$I$5:$I$10004,$AJ9)="","",INDEX(NHAP_LIEU!$I$5:$I$10004,$AJ9)))</f>
        <v/>
      </c>
      <c r="X9" s="20" t="str">
        <f aca="false">IF($AJ9="","",IF(INDEX(NHAP_LIEU!$J$5:$J$10004,$AJ9)="","",INDEX(NHAP_LIEU!$J$5:$J$10004,$AJ9)))</f>
        <v/>
      </c>
      <c r="Y9" s="20" t="str">
        <f aca="false">IF($AJ9="","",IF(INDEX(NHAP_LIEU!$K$5:$K$10004,$AJ9)="","",INDEX(NHAP_LIEU!$K$5:$K$10004,$AJ9)))</f>
        <v/>
      </c>
      <c r="Z9" s="20" t="str">
        <f aca="false">IF($AJ9="","",IF(INDEX(NHAP_LIEU!$L$5:$L$10004,$AJ9)="","",INDEX(NHAP_LIEU!$L$5:$L$10004,$AJ9)))</f>
        <v/>
      </c>
      <c r="AA9" s="20" t="str">
        <f aca="false">IF($AJ9="","",IF(INDEX(NHAP_LIEU!$M$5:$M$10004,$AJ9)="","",INDEX(NHAP_LIEU!$M$5:$M$10004,$AJ9)))</f>
        <v/>
      </c>
      <c r="AB9" s="20" t="str">
        <f aca="false">IF($AJ9="","",IF(INDEX(NHAP_LIEU!$N$5:$N$10004,$AJ9)="","",INDEX(NHAP_LIEU!$N$5:$N$10004,$AJ9)))</f>
        <v/>
      </c>
      <c r="AC9" s="20" t="str">
        <f aca="false">IF($AJ9="","",IF(INDEX(NHAP_LIEU!$O$5:$O$10004,$AJ9)="","",INDEX(NHAP_LIEU!$O$5:$O$10004,$AJ9)))</f>
        <v/>
      </c>
      <c r="AD9" s="20" t="str">
        <f aca="false">IF($AJ9="","",IF(INDEX(NHAP_LIEU!$P$5:$P$10004,$AJ9)="","",INDEX(NHAP_LIEU!$P$5:$P$10004,$AJ9)))</f>
        <v/>
      </c>
      <c r="AE9" s="20" t="str">
        <f aca="false">IF($AJ9="","",IF(INDEX(NHAP_LIEU!$Q$5:$Q$10004,$AJ9)="","",INDEX(NHAP_LIEU!$Q$5:$Q$10004,$AJ9)))</f>
        <v/>
      </c>
      <c r="AF9" s="20" t="str">
        <f aca="false">IF($AJ9="","",IF(INDEX(NHAP_LIEU!$R$5:$R$10004,$AJ9)="","",INDEX(NHAP_LIEU!$R$5:$R$10004,$AJ9)))</f>
        <v/>
      </c>
      <c r="AG9" s="20" t="str">
        <f aca="false">IF($AJ9="","",IF(INDEX(NHAP_LIEU!$S$5:$S$10004,$AJ9)="","",INDEX(NHAP_LIEU!$S$5:$S$10004,$AJ9)))</f>
        <v/>
      </c>
      <c r="AH9" s="16" t="str">
        <f aca="false">IF($AJ9="","",IF(INDEX(NHAP_LIEU!$AC$5:$AC$10004,$AJ9)="","",INDEX(NHAP_LIEU!$AC$5:$AC$10004,$AJ9)))</f>
        <v/>
      </c>
      <c r="AI9" s="16" t="str">
        <f aca="false">IF($AJ9="","",IF(INDEX(NHAP_LIEU!$AD$5:$AD$10004,$AJ9)="","",INDEX(NHAP_LIEU!$AD$5:$AD$10004,$AJ9)))</f>
        <v/>
      </c>
      <c r="AJ9" s="23" t="str">
        <f aca="false">IF(OR(B9="",A9=""),"",IFERROR(MATCH(1,INDEX((NHAP_LIEU!$A$5:$A$10004=A9)*(NHAP_LIEU!$B$5:$B$10004=B9),0),0),""))</f>
        <v/>
      </c>
      <c r="AK9" s="23" t="str">
        <f aca="false">IF(O9="","",IFERROR(MATCH(1,INDEX((NHAP_LIEU!$A$5:$A$10004=O9)*(NHAP_LIEU!$B$5:$B$10004=B9),0),0),""))</f>
        <v/>
      </c>
      <c r="AL9" s="20" t="str">
        <f aca="false">IF(C9="","",SUMIFS(MUC_TIEU_THANG!$K$5:$K$2004,MUC_TIEU_THANG!$B$5:$B$2004,C9,MUC_TIEU_THANG!$A$5:$A$2004,"&gt;="&amp;DATE(YEAR(A9),MONTH(A9),1),MUC_TIEU_THANG!$A$5:$A$2004,"&lt;"&amp;DATE(YEAR(A9),MONTH(A9)+1,1)))</f>
        <v/>
      </c>
      <c r="AM9" s="23" t="n">
        <f aca="false">IF(A9="","",MAX(0,NETWORKDAYS.INTL(A9,EOMONTH(A9,0),11)-SUMPRODUCT((LICH_LAM_VIEC!$A$5:$A$1000&gt;=A9)*(LICH_LAM_VIEC!$A$5:$A$1000&lt;=EOMONTH(A9,0))*(LICH_LAM_VIEC!$B$5:$B$1000="Nghỉ")*(WEEKDAY(LICH_LAM_VIEC!$A$5:$A$1000)&lt;&gt;1))+SUMPRODUCT((LICH_LAM_VIEC!$A$5:$A$1000&gt;=A9)*(LICH_LAM_VIEC!$A$5:$A$1000&lt;=EOMONTH(A9,0))*(LICH_LAM_VIEC!$B$5:$B$1000="Làm bù")*(WEEKDAY(LICH_LAM_VIEC!$A$5:$A$1000)=1))))</f>
        <v>26</v>
      </c>
      <c r="AN9" s="20" t="str">
        <f aca="false">IF(OR(C9="",N(Q9)=0,N(AM9)=0),"",ROUNDUP(MAX(0,Q9-SUMPRODUCT((NHAP_LIEU!$C$5:$C$10004=C9)*(NHAP_LIEU!$A$5:$A$10004&gt;=DATE(YEAR(A9),MONTH(A9),1))*(NHAP_LIEU!$A$5:$A$10004&lt;A9)*NHAP_LIEU!$H$5:$S$10004))/AM9,0))</f>
        <v/>
      </c>
      <c r="AO9" s="23" t="str">
        <f aca="false">IF($AJ9="","",IF(INDEX(NHAP_LIEU!$AG$5:$AG$10004,$AJ9)="","",INDEX(NHAP_LIEU!$AG$5:$AG$10004,$AJ9)))</f>
        <v/>
      </c>
      <c r="AP9" s="26" t="str">
        <f aca="false">IF(OR(H9="",N(AO9)=0,N(L9)=0),"",H9/(AO9*L9))</f>
        <v/>
      </c>
      <c r="AQ9" s="20" t="str">
        <f aca="false">IF($AJ9="","",IF(INDEX(NHAP_LIEU!$AH$5:$AH$10004,$AJ9)="","",INDEX(NHAP_LIEU!$AH$5:$AH$10004,$AJ9)))</f>
        <v/>
      </c>
      <c r="AR9" s="27" t="str">
        <f aca="false">IF(OR(AQ9="",N(H9)=0),"",AQ9/H9)</f>
        <v/>
      </c>
      <c r="AS9" s="16" t="str">
        <f aca="false">IF($AJ9="","",IF(INDEX(NHAP_LIEU!$AI$5:$AI$10004,$AJ9)="","",INDEX(NHAP_LIEU!$AI$5:$AI$10004,$AJ9)))</f>
        <v/>
      </c>
      <c r="AT9" s="23" t="str">
        <f aca="false">IF($AJ9="","",IF(INDEX(NHAP_LIEU!$AJ$5:$AJ$10004,$AJ9)="","",INDEX(NHAP_LIEU!$AJ$5:$AJ$10004,$AJ9)))</f>
        <v/>
      </c>
    </row>
    <row r="10" customFormat="false" ht="15" hidden="false" customHeight="false" outlineLevel="0" collapsed="false">
      <c r="A10" s="33" t="n">
        <f aca="false">IF(B10="","",$M$1)</f>
        <v>46297</v>
      </c>
      <c r="B10" s="16" t="str">
        <f aca="false">IF(DANH_SACH_CHUYEN!B10="","",DANH_SACH_CHUYEN!B10)</f>
        <v>Chuyền 6</v>
      </c>
      <c r="C10" s="34" t="str">
        <f aca="false">IF($AJ10="","",IF(INDEX(NHAP_LIEU!$C$5:$C$10004,$AJ10)="","",INDEX(NHAP_LIEU!$C$5:$C$10004,$AJ10)))</f>
        <v/>
      </c>
      <c r="D10" s="16" t="str">
        <f aca="false">IF($AJ10="","",IF(INDEX(NHAP_LIEU!$D$5:$D$10004,$AJ10)="","",INDEX(NHAP_LIEU!$D$5:$D$10004,$AJ10)))</f>
        <v/>
      </c>
      <c r="E10" s="13" t="str">
        <f aca="false">IF(D10="","",IFERROR(INDEX(CAU_HINH_CA!$C$5:$C$50,MATCH(D10,CAU_HINH_CA!$A$5:$A$50,0)),""))</f>
        <v/>
      </c>
      <c r="F10" s="20" t="str">
        <f aca="false">IF($AJ10="","",IF(INDEX(NHAP_LIEU!$E$5:$E$10004,$AJ10)="","",INDEX(NHAP_LIEU!$E$5:$E$10004,$AJ10)))</f>
        <v/>
      </c>
      <c r="G10" s="20" t="str">
        <f aca="false">IF(OR(E10="",F10=""),"",ROUND(E10*F10,0))</f>
        <v/>
      </c>
      <c r="H10" s="20" t="str">
        <f aca="false">IF(COUNT(V10:AG10)=0,"",SUM(V10:AG10))</f>
        <v/>
      </c>
      <c r="I10" s="21" t="str">
        <f aca="false">IF(OR(H10="",N(G10)=0),"",H10/G10)</f>
        <v/>
      </c>
      <c r="J10" s="22" t="str">
        <f aca="false">IF(OR(H10="",G10=""),"",H10-G10)</f>
        <v/>
      </c>
      <c r="K10" s="20" t="str">
        <f aca="false">IF(OR(H10="",G10=""),"",MAX(0,G10-H10))</f>
        <v/>
      </c>
      <c r="L10" s="23" t="str">
        <f aca="false">IF(AJ10="","",COUNT(V10:AG10))</f>
        <v/>
      </c>
      <c r="M10" s="20" t="str">
        <f aca="false">IF(OR(L10="",F10="",G10=""),"",MIN(G10,L10*F10))</f>
        <v/>
      </c>
      <c r="N10" s="21" t="str">
        <f aca="false">IF(OR(H10="",N(M10)=0),"",H10/M10)</f>
        <v/>
      </c>
      <c r="O10" s="24" t="n">
        <f aca="false">IF(OR(B10="",A10=""),"",IF(SUMPRODUCT(MAX((NHAP_LIEU!$B$5:$B$10004=B10)*(NHAP_LIEU!$A$5:$A$10004&lt;A10)*NHAP_LIEU!$A$5:$A$10004))=0,"",SUMPRODUCT(MAX((NHAP_LIEU!$B$5:$B$10004=B10)*(NHAP_LIEU!$A$5:$A$10004&lt;A10)*NHAP_LIEU!$A$5:$A$10004))))</f>
        <v>46296</v>
      </c>
      <c r="P10" s="20" t="n">
        <f aca="false">IF(AK10="","",IF(COUNT(INDEX(NHAP_LIEU!$H$5:$S$10004,AK10,0))=0,0,MAX(0,IFERROR(ROUND(INDEX(CAU_HINH_CA!$C$5:$C$50,MATCH(INDEX(NHAP_LIEU!$D$5:$D$10004,AK10),CAU_HINH_CA!$A$5:$A$50,0))*INDEX(NHAP_LIEU!$E$5:$E$10004,AK10),0),0)-SUM(INDEX(NHAP_LIEU!$H$5:$S$10004,AK10,0)))))</f>
        <v>100</v>
      </c>
      <c r="Q10" s="20" t="str">
        <f aca="false">IF(C10="","",SUMIFS(MUC_TIEU_THANG!$C$5:$C$2004,MUC_TIEU_THANG!$B$5:$B$2004,C10,MUC_TIEU_THANG!$A$5:$A$2004,"&gt;="&amp;DATE(YEAR(A10),MONTH(A10),1),MUC_TIEU_THANG!$A$5:$A$2004,"&lt;"&amp;DATE(YEAR(A10),MONTH(A10)+1,1)))</f>
        <v/>
      </c>
      <c r="R10" s="20" t="str">
        <f aca="false">IF(C10="","",SUMPRODUCT((NHAP_LIEU!$C$5:$C$10004=C10)*(NHAP_LIEU!$A$5:$A$10004&gt;=DATE(YEAR(A10),MONTH(A10),1))*(NHAP_LIEU!$A$5:$A$10004&lt;=A10)*NHAP_LIEU!$H$5:$S$10004))</f>
        <v/>
      </c>
      <c r="S10" s="21" t="str">
        <f aca="false">IF(OR(R10="",N(Q10)=0),"",R10/Q10)</f>
        <v/>
      </c>
      <c r="T10" s="20" t="str">
        <f aca="false">IF(OR(R10="",N(Q10)=0),"",MAX(0,Q10-R10))</f>
        <v/>
      </c>
      <c r="U10" s="20" t="n">
        <f aca="false">IF(B10="","",SUMPRODUCT((NHAP_LIEU!$B$5:$B$10004=B10)*(NHAP_LIEU!$A$5:$A$10004&gt;=DATE(YEAR(A10),MONTH(A10),1))*(NHAP_LIEU!$A$5:$A$10004&lt;=A10)*NHAP_LIEU!$H$5:$S$10004))</f>
        <v>300</v>
      </c>
      <c r="V10" s="20" t="str">
        <f aca="false">IF($AJ10="","",IF(INDEX(NHAP_LIEU!$H$5:$H$10004,$AJ10)="","",INDEX(NHAP_LIEU!$H$5:$H$10004,$AJ10)))</f>
        <v/>
      </c>
      <c r="W10" s="20" t="str">
        <f aca="false">IF($AJ10="","",IF(INDEX(NHAP_LIEU!$I$5:$I$10004,$AJ10)="","",INDEX(NHAP_LIEU!$I$5:$I$10004,$AJ10)))</f>
        <v/>
      </c>
      <c r="X10" s="20" t="str">
        <f aca="false">IF($AJ10="","",IF(INDEX(NHAP_LIEU!$J$5:$J$10004,$AJ10)="","",INDEX(NHAP_LIEU!$J$5:$J$10004,$AJ10)))</f>
        <v/>
      </c>
      <c r="Y10" s="20" t="str">
        <f aca="false">IF($AJ10="","",IF(INDEX(NHAP_LIEU!$K$5:$K$10004,$AJ10)="","",INDEX(NHAP_LIEU!$K$5:$K$10004,$AJ10)))</f>
        <v/>
      </c>
      <c r="Z10" s="20" t="str">
        <f aca="false">IF($AJ10="","",IF(INDEX(NHAP_LIEU!$L$5:$L$10004,$AJ10)="","",INDEX(NHAP_LIEU!$L$5:$L$10004,$AJ10)))</f>
        <v/>
      </c>
      <c r="AA10" s="20" t="str">
        <f aca="false">IF($AJ10="","",IF(INDEX(NHAP_LIEU!$M$5:$M$10004,$AJ10)="","",INDEX(NHAP_LIEU!$M$5:$M$10004,$AJ10)))</f>
        <v/>
      </c>
      <c r="AB10" s="20" t="str">
        <f aca="false">IF($AJ10="","",IF(INDEX(NHAP_LIEU!$N$5:$N$10004,$AJ10)="","",INDEX(NHAP_LIEU!$N$5:$N$10004,$AJ10)))</f>
        <v/>
      </c>
      <c r="AC10" s="20" t="str">
        <f aca="false">IF($AJ10="","",IF(INDEX(NHAP_LIEU!$O$5:$O$10004,$AJ10)="","",INDEX(NHAP_LIEU!$O$5:$O$10004,$AJ10)))</f>
        <v/>
      </c>
      <c r="AD10" s="20" t="str">
        <f aca="false">IF($AJ10="","",IF(INDEX(NHAP_LIEU!$P$5:$P$10004,$AJ10)="","",INDEX(NHAP_LIEU!$P$5:$P$10004,$AJ10)))</f>
        <v/>
      </c>
      <c r="AE10" s="20" t="str">
        <f aca="false">IF($AJ10="","",IF(INDEX(NHAP_LIEU!$Q$5:$Q$10004,$AJ10)="","",INDEX(NHAP_LIEU!$Q$5:$Q$10004,$AJ10)))</f>
        <v/>
      </c>
      <c r="AF10" s="20" t="str">
        <f aca="false">IF($AJ10="","",IF(INDEX(NHAP_LIEU!$R$5:$R$10004,$AJ10)="","",INDEX(NHAP_LIEU!$R$5:$R$10004,$AJ10)))</f>
        <v/>
      </c>
      <c r="AG10" s="20" t="str">
        <f aca="false">IF($AJ10="","",IF(INDEX(NHAP_LIEU!$S$5:$S$10004,$AJ10)="","",INDEX(NHAP_LIEU!$S$5:$S$10004,$AJ10)))</f>
        <v/>
      </c>
      <c r="AH10" s="16" t="str">
        <f aca="false">IF($AJ10="","",IF(INDEX(NHAP_LIEU!$AC$5:$AC$10004,$AJ10)="","",INDEX(NHAP_LIEU!$AC$5:$AC$10004,$AJ10)))</f>
        <v/>
      </c>
      <c r="AI10" s="16" t="str">
        <f aca="false">IF($AJ10="","",IF(INDEX(NHAP_LIEU!$AD$5:$AD$10004,$AJ10)="","",INDEX(NHAP_LIEU!$AD$5:$AD$10004,$AJ10)))</f>
        <v/>
      </c>
      <c r="AJ10" s="23" t="str">
        <f aca="false">IF(OR(B10="",A10=""),"",IFERROR(MATCH(1,INDEX((NHAP_LIEU!$A$5:$A$10004=A10)*(NHAP_LIEU!$B$5:$B$10004=B10),0),0),""))</f>
        <v/>
      </c>
      <c r="AK10" s="23" t="n">
        <f aca="false">IF(O10="","",IFERROR(MATCH(1,INDEX((NHAP_LIEU!$A$5:$A$10004=O10)*(NHAP_LIEU!$B$5:$B$10004=B10),0),0),""))</f>
        <v>13</v>
      </c>
      <c r="AL10" s="20" t="str">
        <f aca="false">IF(C10="","",SUMIFS(MUC_TIEU_THANG!$K$5:$K$2004,MUC_TIEU_THANG!$B$5:$B$2004,C10,MUC_TIEU_THANG!$A$5:$A$2004,"&gt;="&amp;DATE(YEAR(A10),MONTH(A10),1),MUC_TIEU_THANG!$A$5:$A$2004,"&lt;"&amp;DATE(YEAR(A10),MONTH(A10)+1,1)))</f>
        <v/>
      </c>
      <c r="AM10" s="23" t="n">
        <f aca="false">IF(A10="","",MAX(0,NETWORKDAYS.INTL(A10,EOMONTH(A10,0),11)-SUMPRODUCT((LICH_LAM_VIEC!$A$5:$A$1000&gt;=A10)*(LICH_LAM_VIEC!$A$5:$A$1000&lt;=EOMONTH(A10,0))*(LICH_LAM_VIEC!$B$5:$B$1000="Nghỉ")*(WEEKDAY(LICH_LAM_VIEC!$A$5:$A$1000)&lt;&gt;1))+SUMPRODUCT((LICH_LAM_VIEC!$A$5:$A$1000&gt;=A10)*(LICH_LAM_VIEC!$A$5:$A$1000&lt;=EOMONTH(A10,0))*(LICH_LAM_VIEC!$B$5:$B$1000="Làm bù")*(WEEKDAY(LICH_LAM_VIEC!$A$5:$A$1000)=1))))</f>
        <v>26</v>
      </c>
      <c r="AN10" s="20" t="str">
        <f aca="false">IF(OR(C10="",N(Q10)=0,N(AM10)=0),"",ROUNDUP(MAX(0,Q10-SUMPRODUCT((NHAP_LIEU!$C$5:$C$10004=C10)*(NHAP_LIEU!$A$5:$A$10004&gt;=DATE(YEAR(A10),MONTH(A10),1))*(NHAP_LIEU!$A$5:$A$10004&lt;A10)*NHAP_LIEU!$H$5:$S$10004))/AM10,0))</f>
        <v/>
      </c>
      <c r="AO10" s="23" t="str">
        <f aca="false">IF($AJ10="","",IF(INDEX(NHAP_LIEU!$AG$5:$AG$10004,$AJ10)="","",INDEX(NHAP_LIEU!$AG$5:$AG$10004,$AJ10)))</f>
        <v/>
      </c>
      <c r="AP10" s="26" t="str">
        <f aca="false">IF(OR(H10="",N(AO10)=0,N(L10)=0),"",H10/(AO10*L10))</f>
        <v/>
      </c>
      <c r="AQ10" s="20" t="str">
        <f aca="false">IF($AJ10="","",IF(INDEX(NHAP_LIEU!$AH$5:$AH$10004,$AJ10)="","",INDEX(NHAP_LIEU!$AH$5:$AH$10004,$AJ10)))</f>
        <v/>
      </c>
      <c r="AR10" s="27" t="str">
        <f aca="false">IF(OR(AQ10="",N(H10)=0),"",AQ10/H10)</f>
        <v/>
      </c>
      <c r="AS10" s="16" t="str">
        <f aca="false">IF($AJ10="","",IF(INDEX(NHAP_LIEU!$AI$5:$AI$10004,$AJ10)="","",INDEX(NHAP_LIEU!$AI$5:$AI$10004,$AJ10)))</f>
        <v/>
      </c>
      <c r="AT10" s="23" t="str">
        <f aca="false">IF($AJ10="","",IF(INDEX(NHAP_LIEU!$AJ$5:$AJ$10004,$AJ10)="","",INDEX(NHAP_LIEU!$AJ$5:$AJ$10004,$AJ10)))</f>
        <v/>
      </c>
    </row>
    <row r="12" customFormat="false" ht="15" hidden="false" customHeight="false" outlineLevel="0" collapsed="false">
      <c r="A12" s="35" t="n">
        <f aca="false">$M$1</f>
        <v>46297</v>
      </c>
      <c r="B12" s="36" t="s">
        <v>265</v>
      </c>
      <c r="C12" s="37"/>
      <c r="D12" s="36"/>
      <c r="E12" s="38"/>
      <c r="F12" s="39"/>
      <c r="G12" s="39" t="n">
        <f aca="false">IF(COUNT(G5:G10)=0,"",SUM(G5:G10))</f>
        <v>1800</v>
      </c>
      <c r="H12" s="39" t="n">
        <f aca="false">IF(COUNT(H5:H10)=0,"",SUM(H5:H10))</f>
        <v>440</v>
      </c>
      <c r="I12" s="40" t="n">
        <f aca="false">IF(OR(H12="",N(G12)=0),"",H12/G12)</f>
        <v>0.244444444444444</v>
      </c>
      <c r="J12" s="41" t="n">
        <f aca="false">IF(COUNT(J5:J10)=0,"",SUM(J5:J10))</f>
        <v>-1360</v>
      </c>
      <c r="K12" s="39" t="n">
        <f aca="false">IF(COUNT(K5:K10)=0,"",SUM(K5:K10))</f>
        <v>1360</v>
      </c>
      <c r="L12" s="42"/>
      <c r="M12" s="39" t="n">
        <f aca="false">IF(COUNT(M5:M10)=0,"",SUM(M5:M10))</f>
        <v>500</v>
      </c>
      <c r="N12" s="40" t="n">
        <f aca="false">IF(OR(H12="",N(M12)=0),"",H12/M12)</f>
        <v>0.88</v>
      </c>
      <c r="O12" s="43"/>
      <c r="P12" s="39" t="n">
        <f aca="false">IF(COUNT(P5:P10)=0,"",SUM(P5:P10))</f>
        <v>293</v>
      </c>
      <c r="Q12" s="39"/>
      <c r="R12" s="39"/>
      <c r="S12" s="40"/>
      <c r="T12" s="39"/>
      <c r="U12" s="39" t="n">
        <f aca="false">IF(COUNT(U5:U10)=0,"",SUM(U5:U10))</f>
        <v>4475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6"/>
      <c r="AI12" s="36"/>
      <c r="AJ12" s="42"/>
      <c r="AK12" s="42"/>
      <c r="AL12" s="39"/>
      <c r="AM12" s="42"/>
      <c r="AN12" s="39"/>
      <c r="AO12" s="42" t="n">
        <f aca="false">IF(COUNT(AO5:AO10)=0,"",SUM(AO5:AO10))</f>
        <v>45</v>
      </c>
      <c r="AP12" s="44" t="n">
        <f aca="false">IF(SUMPRODUCT(AO5:AO10,L5:L10)=0,"",H12/SUMPRODUCT(AO5:AO10,L5:L10))</f>
        <v>3.82608695652174</v>
      </c>
      <c r="AQ12" s="39" t="n">
        <f aca="false">IF(COUNT(AQ5:AQ10)=0,"",SUM(AQ5:AQ10))</f>
        <v>1</v>
      </c>
      <c r="AR12" s="45" t="n">
        <f aca="false">IF(OR(AQ12="",N(H12)=0),"",AQ12/H12)</f>
        <v>0.00227272727272727</v>
      </c>
      <c r="AS12" s="36"/>
      <c r="AT12" s="42" t="str">
        <f aca="false">IF(COUNT(AT5:AT10)=0,"",SUM(AT5:AT10))</f>
        <v/>
      </c>
    </row>
  </sheetData>
  <mergeCells count="3">
    <mergeCell ref="A1:E1"/>
    <mergeCell ref="G1:I1"/>
    <mergeCell ref="K1:L1"/>
  </mergeCells>
  <conditionalFormatting sqref="I5:I12">
    <cfRule type="expression" priority="2" aboveAverage="0" equalAverage="0" bottom="0" percent="0" rank="0" text="" dxfId="9">
      <formula>AND(ISNUMBER(I5),I5&lt;1)</formula>
    </cfRule>
    <cfRule type="expression" priority="3" aboveAverage="0" equalAverage="0" bottom="0" percent="0" rank="0" text="" dxfId="10">
      <formula>AND(ISNUMBER(I5),I5&gt;=1)</formula>
    </cfRule>
  </conditionalFormatting>
  <conditionalFormatting sqref="N5:N12">
    <cfRule type="expression" priority="4" aboveAverage="0" equalAverage="0" bottom="0" percent="0" rank="0" text="" dxfId="9">
      <formula>AND(ISNUMBER(N5),N5&lt;1)</formula>
    </cfRule>
    <cfRule type="expression" priority="5" aboveAverage="0" equalAverage="0" bottom="0" percent="0" rank="0" text="" dxfId="10">
      <formula>AND(ISNUMBER(N5),N5&gt;=1)</formula>
    </cfRule>
  </conditionalFormatting>
  <conditionalFormatting sqref="S5:S12">
    <cfRule type="expression" priority="6" aboveAverage="0" equalAverage="0" bottom="0" percent="0" rank="0" text="" dxfId="9">
      <formula>AND(ISNUMBER(S5),S5&lt;1)</formula>
    </cfRule>
    <cfRule type="expression" priority="7" aboveAverage="0" equalAverage="0" bottom="0" percent="0" rank="0" text="" dxfId="10">
      <formula>AND(ISNUMBER(S5),S5&gt;=1)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2" min="2" style="0" width="6.5"/>
    <col collapsed="false" customWidth="true" hidden="false" outlineLevel="0" max="35" min="33" style="0" width="13"/>
  </cols>
  <sheetData>
    <row r="1" customFormat="false" ht="27.75" hidden="false" customHeight="true" outlineLevel="0" collapsed="false">
      <c r="A1" s="46" t="s">
        <v>266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customFormat="false" ht="15" hidden="false" customHeight="false" outlineLevel="0" collapsed="false">
      <c r="A2" s="47" t="s">
        <v>267</v>
      </c>
      <c r="B2" s="47"/>
      <c r="C2" s="47"/>
      <c r="D2" s="47"/>
      <c r="E2" s="47"/>
      <c r="F2" s="48"/>
      <c r="H2" s="47" t="s">
        <v>268</v>
      </c>
      <c r="I2" s="47"/>
      <c r="J2" s="49" t="n">
        <f aca="false">IF(F2&lt;&gt;"",DATE(YEAR(F2),MONTH(F2),1),DATE(YEAR(MAX(NHAP_LIEU!$A$5:$A$10004)),MONTH(MAX(NHAP_LIEU!$A$5:$A$10004)),1))</f>
        <v>46296</v>
      </c>
    </row>
    <row r="4" customFormat="false" ht="15" hidden="false" customHeight="false" outlineLevel="0" collapsed="false">
      <c r="A4" s="50" t="s">
        <v>269</v>
      </c>
    </row>
    <row r="5" customFormat="false" ht="30" hidden="false" customHeight="true" outlineLevel="0" collapsed="false">
      <c r="A5" s="9" t="s">
        <v>157</v>
      </c>
      <c r="B5" s="9" t="n">
        <f aca="false">IF(MONTH($J$2+1-1)=MONTH($J$2),1,"")</f>
        <v>1</v>
      </c>
      <c r="C5" s="9" t="n">
        <f aca="false">IF(MONTH($J$2+2-1)=MONTH($J$2),2,"")</f>
        <v>2</v>
      </c>
      <c r="D5" s="9" t="n">
        <f aca="false">IF(MONTH($J$2+3-1)=MONTH($J$2),3,"")</f>
        <v>3</v>
      </c>
      <c r="E5" s="9" t="n">
        <f aca="false">IF(MONTH($J$2+4-1)=MONTH($J$2),4,"")</f>
        <v>4</v>
      </c>
      <c r="F5" s="9" t="n">
        <f aca="false">IF(MONTH($J$2+5-1)=MONTH($J$2),5,"")</f>
        <v>5</v>
      </c>
      <c r="G5" s="9" t="n">
        <f aca="false">IF(MONTH($J$2+6-1)=MONTH($J$2),6,"")</f>
        <v>6</v>
      </c>
      <c r="H5" s="9" t="n">
        <f aca="false">IF(MONTH($J$2+7-1)=MONTH($J$2),7,"")</f>
        <v>7</v>
      </c>
      <c r="I5" s="9" t="n">
        <f aca="false">IF(MONTH($J$2+8-1)=MONTH($J$2),8,"")</f>
        <v>8</v>
      </c>
      <c r="J5" s="9" t="n">
        <f aca="false">IF(MONTH($J$2+9-1)=MONTH($J$2),9,"")</f>
        <v>9</v>
      </c>
      <c r="K5" s="9" t="n">
        <f aca="false">IF(MONTH($J$2+10-1)=MONTH($J$2),10,"")</f>
        <v>10</v>
      </c>
      <c r="L5" s="9" t="n">
        <f aca="false">IF(MONTH($J$2+11-1)=MONTH($J$2),11,"")</f>
        <v>11</v>
      </c>
      <c r="M5" s="9" t="n">
        <f aca="false">IF(MONTH($J$2+12-1)=MONTH($J$2),12,"")</f>
        <v>12</v>
      </c>
      <c r="N5" s="9" t="n">
        <f aca="false">IF(MONTH($J$2+13-1)=MONTH($J$2),13,"")</f>
        <v>13</v>
      </c>
      <c r="O5" s="9" t="n">
        <f aca="false">IF(MONTH($J$2+14-1)=MONTH($J$2),14,"")</f>
        <v>14</v>
      </c>
      <c r="P5" s="9" t="n">
        <f aca="false">IF(MONTH($J$2+15-1)=MONTH($J$2),15,"")</f>
        <v>15</v>
      </c>
      <c r="Q5" s="9" t="n">
        <f aca="false">IF(MONTH($J$2+16-1)=MONTH($J$2),16,"")</f>
        <v>16</v>
      </c>
      <c r="R5" s="9" t="n">
        <f aca="false">IF(MONTH($J$2+17-1)=MONTH($J$2),17,"")</f>
        <v>17</v>
      </c>
      <c r="S5" s="9" t="n">
        <f aca="false">IF(MONTH($J$2+18-1)=MONTH($J$2),18,"")</f>
        <v>18</v>
      </c>
      <c r="T5" s="9" t="n">
        <f aca="false">IF(MONTH($J$2+19-1)=MONTH($J$2),19,"")</f>
        <v>19</v>
      </c>
      <c r="U5" s="9" t="n">
        <f aca="false">IF(MONTH($J$2+20-1)=MONTH($J$2),20,"")</f>
        <v>20</v>
      </c>
      <c r="V5" s="9" t="n">
        <f aca="false">IF(MONTH($J$2+21-1)=MONTH($J$2),21,"")</f>
        <v>21</v>
      </c>
      <c r="W5" s="9" t="n">
        <f aca="false">IF(MONTH($J$2+22-1)=MONTH($J$2),22,"")</f>
        <v>22</v>
      </c>
      <c r="X5" s="9" t="n">
        <f aca="false">IF(MONTH($J$2+23-1)=MONTH($J$2),23,"")</f>
        <v>23</v>
      </c>
      <c r="Y5" s="9" t="n">
        <f aca="false">IF(MONTH($J$2+24-1)=MONTH($J$2),24,"")</f>
        <v>24</v>
      </c>
      <c r="Z5" s="9" t="n">
        <f aca="false">IF(MONTH($J$2+25-1)=MONTH($J$2),25,"")</f>
        <v>25</v>
      </c>
      <c r="AA5" s="9" t="n">
        <f aca="false">IF(MONTH($J$2+26-1)=MONTH($J$2),26,"")</f>
        <v>26</v>
      </c>
      <c r="AB5" s="9" t="n">
        <f aca="false">IF(MONTH($J$2+27-1)=MONTH($J$2),27,"")</f>
        <v>27</v>
      </c>
      <c r="AC5" s="9" t="n">
        <f aca="false">IF(MONTH($J$2+28-1)=MONTH($J$2),28,"")</f>
        <v>28</v>
      </c>
      <c r="AD5" s="9" t="n">
        <f aca="false">IF(MONTH($J$2+29-1)=MONTH($J$2),29,"")</f>
        <v>29</v>
      </c>
      <c r="AE5" s="9" t="n">
        <f aca="false">IF(MONTH($J$2+30-1)=MONTH($J$2),30,"")</f>
        <v>30</v>
      </c>
      <c r="AF5" s="9" t="n">
        <f aca="false">IF(MONTH($J$2+31-1)=MONTH($J$2),31,"")</f>
        <v>31</v>
      </c>
      <c r="AG5" s="9" t="s">
        <v>270</v>
      </c>
      <c r="AH5" s="9" t="s">
        <v>271</v>
      </c>
      <c r="AI5" s="9" t="s">
        <v>272</v>
      </c>
    </row>
    <row r="6" customFormat="false" ht="15" hidden="false" customHeight="false" outlineLevel="0" collapsed="false">
      <c r="A6" s="51" t="str">
        <f aca="false">IF(DANH_SACH_CHUYEN!B5="","",DANH_SACH_CHUYEN!B5)</f>
        <v>Chuyền 1</v>
      </c>
      <c r="B6" s="20" t="n">
        <f aca="false">IF(OR($A6="",MONTH(($J$2+2-2))&lt;&gt;MONTH($J$2)),"",IFERROR(IF(COUNT(INDEX(NHAP_LIEU!$H$5:$S$10004,MATCH(1,INDEX((NHAP_LIEU!$A$5:$A$10004=($J$2+2-2))*(NHAP_LIEU!$B$5:$B$10004=$A6),0),0),0))=0,"",SUM(INDEX(NHAP_LIEU!$H$5:$S$10004,MATCH(1,INDEX((NHAP_LIEU!$A$5:$A$10004=($J$2+2-2))*(NHAP_LIEU!$B$5:$B$10004=$A6),0),0),0))),""))</f>
        <v>800</v>
      </c>
      <c r="C6" s="20" t="n">
        <f aca="false">IF(OR($A6="",MONTH(($J$2+3-2))&lt;&gt;MONTH($J$2)),"",IFERROR(IF(COUNT(INDEX(NHAP_LIEU!$H$5:$S$10004,MATCH(1,INDEX((NHAP_LIEU!$A$5:$A$10004=($J$2+3-2))*(NHAP_LIEU!$B$5:$B$10004=$A6),0),0),0))=0,"",SUM(INDEX(NHAP_LIEU!$H$5:$S$10004,MATCH(1,INDEX((NHAP_LIEU!$A$5:$A$10004=($J$2+3-2))*(NHAP_LIEU!$B$5:$B$10004=$A6),0),0),0))),""))</f>
        <v>200</v>
      </c>
      <c r="D6" s="20" t="str">
        <f aca="false">IF(OR($A6="",MONTH(($J$2+4-2))&lt;&gt;MONTH($J$2)),"",IFERROR(IF(COUNT(INDEX(NHAP_LIEU!$H$5:$S$10004,MATCH(1,INDEX((NHAP_LIEU!$A$5:$A$10004=($J$2+4-2))*(NHAP_LIEU!$B$5:$B$10004=$A6),0),0),0))=0,"",SUM(INDEX(NHAP_LIEU!$H$5:$S$10004,MATCH(1,INDEX((NHAP_LIEU!$A$5:$A$10004=($J$2+4-2))*(NHAP_LIEU!$B$5:$B$10004=$A6),0),0),0))),""))</f>
        <v/>
      </c>
      <c r="E6" s="20" t="str">
        <f aca="false">IF(OR($A6="",MONTH(($J$2+5-2))&lt;&gt;MONTH($J$2)),"",IFERROR(IF(COUNT(INDEX(NHAP_LIEU!$H$5:$S$10004,MATCH(1,INDEX((NHAP_LIEU!$A$5:$A$10004=($J$2+5-2))*(NHAP_LIEU!$B$5:$B$10004=$A6),0),0),0))=0,"",SUM(INDEX(NHAP_LIEU!$H$5:$S$10004,MATCH(1,INDEX((NHAP_LIEU!$A$5:$A$10004=($J$2+5-2))*(NHAP_LIEU!$B$5:$B$10004=$A6),0),0),0))),""))</f>
        <v/>
      </c>
      <c r="F6" s="20" t="str">
        <f aca="false">IF(OR($A6="",MONTH(($J$2+6-2))&lt;&gt;MONTH($J$2)),"",IFERROR(IF(COUNT(INDEX(NHAP_LIEU!$H$5:$S$10004,MATCH(1,INDEX((NHAP_LIEU!$A$5:$A$10004=($J$2+6-2))*(NHAP_LIEU!$B$5:$B$10004=$A6),0),0),0))=0,"",SUM(INDEX(NHAP_LIEU!$H$5:$S$10004,MATCH(1,INDEX((NHAP_LIEU!$A$5:$A$10004=($J$2+6-2))*(NHAP_LIEU!$B$5:$B$10004=$A6),0),0),0))),""))</f>
        <v/>
      </c>
      <c r="G6" s="20" t="str">
        <f aca="false">IF(OR($A6="",MONTH(($J$2+7-2))&lt;&gt;MONTH($J$2)),"",IFERROR(IF(COUNT(INDEX(NHAP_LIEU!$H$5:$S$10004,MATCH(1,INDEX((NHAP_LIEU!$A$5:$A$10004=($J$2+7-2))*(NHAP_LIEU!$B$5:$B$10004=$A6),0),0),0))=0,"",SUM(INDEX(NHAP_LIEU!$H$5:$S$10004,MATCH(1,INDEX((NHAP_LIEU!$A$5:$A$10004=($J$2+7-2))*(NHAP_LIEU!$B$5:$B$10004=$A6),0),0),0))),""))</f>
        <v/>
      </c>
      <c r="H6" s="20" t="str">
        <f aca="false">IF(OR($A6="",MONTH(($J$2+8-2))&lt;&gt;MONTH($J$2)),"",IFERROR(IF(COUNT(INDEX(NHAP_LIEU!$H$5:$S$10004,MATCH(1,INDEX((NHAP_LIEU!$A$5:$A$10004=($J$2+8-2))*(NHAP_LIEU!$B$5:$B$10004=$A6),0),0),0))=0,"",SUM(INDEX(NHAP_LIEU!$H$5:$S$10004,MATCH(1,INDEX((NHAP_LIEU!$A$5:$A$10004=($J$2+8-2))*(NHAP_LIEU!$B$5:$B$10004=$A6),0),0),0))),""))</f>
        <v/>
      </c>
      <c r="I6" s="20" t="str">
        <f aca="false">IF(OR($A6="",MONTH(($J$2+9-2))&lt;&gt;MONTH($J$2)),"",IFERROR(IF(COUNT(INDEX(NHAP_LIEU!$H$5:$S$10004,MATCH(1,INDEX((NHAP_LIEU!$A$5:$A$10004=($J$2+9-2))*(NHAP_LIEU!$B$5:$B$10004=$A6),0),0),0))=0,"",SUM(INDEX(NHAP_LIEU!$H$5:$S$10004,MATCH(1,INDEX((NHAP_LIEU!$A$5:$A$10004=($J$2+9-2))*(NHAP_LIEU!$B$5:$B$10004=$A6),0),0),0))),""))</f>
        <v/>
      </c>
      <c r="J6" s="20" t="str">
        <f aca="false">IF(OR($A6="",MONTH(($J$2+10-2))&lt;&gt;MONTH($J$2)),"",IFERROR(IF(COUNT(INDEX(NHAP_LIEU!$H$5:$S$10004,MATCH(1,INDEX((NHAP_LIEU!$A$5:$A$10004=($J$2+10-2))*(NHAP_LIEU!$B$5:$B$10004=$A6),0),0),0))=0,"",SUM(INDEX(NHAP_LIEU!$H$5:$S$10004,MATCH(1,INDEX((NHAP_LIEU!$A$5:$A$10004=($J$2+10-2))*(NHAP_LIEU!$B$5:$B$10004=$A6),0),0),0))),""))</f>
        <v/>
      </c>
      <c r="K6" s="20" t="str">
        <f aca="false">IF(OR($A6="",MONTH(($J$2+11-2))&lt;&gt;MONTH($J$2)),"",IFERROR(IF(COUNT(INDEX(NHAP_LIEU!$H$5:$S$10004,MATCH(1,INDEX((NHAP_LIEU!$A$5:$A$10004=($J$2+11-2))*(NHAP_LIEU!$B$5:$B$10004=$A6),0),0),0))=0,"",SUM(INDEX(NHAP_LIEU!$H$5:$S$10004,MATCH(1,INDEX((NHAP_LIEU!$A$5:$A$10004=($J$2+11-2))*(NHAP_LIEU!$B$5:$B$10004=$A6),0),0),0))),""))</f>
        <v/>
      </c>
      <c r="L6" s="20" t="str">
        <f aca="false">IF(OR($A6="",MONTH(($J$2+12-2))&lt;&gt;MONTH($J$2)),"",IFERROR(IF(COUNT(INDEX(NHAP_LIEU!$H$5:$S$10004,MATCH(1,INDEX((NHAP_LIEU!$A$5:$A$10004=($J$2+12-2))*(NHAP_LIEU!$B$5:$B$10004=$A6),0),0),0))=0,"",SUM(INDEX(NHAP_LIEU!$H$5:$S$10004,MATCH(1,INDEX((NHAP_LIEU!$A$5:$A$10004=($J$2+12-2))*(NHAP_LIEU!$B$5:$B$10004=$A6),0),0),0))),""))</f>
        <v/>
      </c>
      <c r="M6" s="20" t="str">
        <f aca="false">IF(OR($A6="",MONTH(($J$2+13-2))&lt;&gt;MONTH($J$2)),"",IFERROR(IF(COUNT(INDEX(NHAP_LIEU!$H$5:$S$10004,MATCH(1,INDEX((NHAP_LIEU!$A$5:$A$10004=($J$2+13-2))*(NHAP_LIEU!$B$5:$B$10004=$A6),0),0),0))=0,"",SUM(INDEX(NHAP_LIEU!$H$5:$S$10004,MATCH(1,INDEX((NHAP_LIEU!$A$5:$A$10004=($J$2+13-2))*(NHAP_LIEU!$B$5:$B$10004=$A6),0),0),0))),""))</f>
        <v/>
      </c>
      <c r="N6" s="20" t="str">
        <f aca="false">IF(OR($A6="",MONTH(($J$2+14-2))&lt;&gt;MONTH($J$2)),"",IFERROR(IF(COUNT(INDEX(NHAP_LIEU!$H$5:$S$10004,MATCH(1,INDEX((NHAP_LIEU!$A$5:$A$10004=($J$2+14-2))*(NHAP_LIEU!$B$5:$B$10004=$A6),0),0),0))=0,"",SUM(INDEX(NHAP_LIEU!$H$5:$S$10004,MATCH(1,INDEX((NHAP_LIEU!$A$5:$A$10004=($J$2+14-2))*(NHAP_LIEU!$B$5:$B$10004=$A6),0),0),0))),""))</f>
        <v/>
      </c>
      <c r="O6" s="20" t="str">
        <f aca="false">IF(OR($A6="",MONTH(($J$2+15-2))&lt;&gt;MONTH($J$2)),"",IFERROR(IF(COUNT(INDEX(NHAP_LIEU!$H$5:$S$10004,MATCH(1,INDEX((NHAP_LIEU!$A$5:$A$10004=($J$2+15-2))*(NHAP_LIEU!$B$5:$B$10004=$A6),0),0),0))=0,"",SUM(INDEX(NHAP_LIEU!$H$5:$S$10004,MATCH(1,INDEX((NHAP_LIEU!$A$5:$A$10004=($J$2+15-2))*(NHAP_LIEU!$B$5:$B$10004=$A6),0),0),0))),""))</f>
        <v/>
      </c>
      <c r="P6" s="20" t="str">
        <f aca="false">IF(OR($A6="",MONTH(($J$2+16-2))&lt;&gt;MONTH($J$2)),"",IFERROR(IF(COUNT(INDEX(NHAP_LIEU!$H$5:$S$10004,MATCH(1,INDEX((NHAP_LIEU!$A$5:$A$10004=($J$2+16-2))*(NHAP_LIEU!$B$5:$B$10004=$A6),0),0),0))=0,"",SUM(INDEX(NHAP_LIEU!$H$5:$S$10004,MATCH(1,INDEX((NHAP_LIEU!$A$5:$A$10004=($J$2+16-2))*(NHAP_LIEU!$B$5:$B$10004=$A6),0),0),0))),""))</f>
        <v/>
      </c>
      <c r="Q6" s="20" t="str">
        <f aca="false">IF(OR($A6="",MONTH(($J$2+17-2))&lt;&gt;MONTH($J$2)),"",IFERROR(IF(COUNT(INDEX(NHAP_LIEU!$H$5:$S$10004,MATCH(1,INDEX((NHAP_LIEU!$A$5:$A$10004=($J$2+17-2))*(NHAP_LIEU!$B$5:$B$10004=$A6),0),0),0))=0,"",SUM(INDEX(NHAP_LIEU!$H$5:$S$10004,MATCH(1,INDEX((NHAP_LIEU!$A$5:$A$10004=($J$2+17-2))*(NHAP_LIEU!$B$5:$B$10004=$A6),0),0),0))),""))</f>
        <v/>
      </c>
      <c r="R6" s="20" t="str">
        <f aca="false">IF(OR($A6="",MONTH(($J$2+18-2))&lt;&gt;MONTH($J$2)),"",IFERROR(IF(COUNT(INDEX(NHAP_LIEU!$H$5:$S$10004,MATCH(1,INDEX((NHAP_LIEU!$A$5:$A$10004=($J$2+18-2))*(NHAP_LIEU!$B$5:$B$10004=$A6),0),0),0))=0,"",SUM(INDEX(NHAP_LIEU!$H$5:$S$10004,MATCH(1,INDEX((NHAP_LIEU!$A$5:$A$10004=($J$2+18-2))*(NHAP_LIEU!$B$5:$B$10004=$A6),0),0),0))),""))</f>
        <v/>
      </c>
      <c r="S6" s="20" t="str">
        <f aca="false">IF(OR($A6="",MONTH(($J$2+19-2))&lt;&gt;MONTH($J$2)),"",IFERROR(IF(COUNT(INDEX(NHAP_LIEU!$H$5:$S$10004,MATCH(1,INDEX((NHAP_LIEU!$A$5:$A$10004=($J$2+19-2))*(NHAP_LIEU!$B$5:$B$10004=$A6),0),0),0))=0,"",SUM(INDEX(NHAP_LIEU!$H$5:$S$10004,MATCH(1,INDEX((NHAP_LIEU!$A$5:$A$10004=($J$2+19-2))*(NHAP_LIEU!$B$5:$B$10004=$A6),0),0),0))),""))</f>
        <v/>
      </c>
      <c r="T6" s="20" t="str">
        <f aca="false">IF(OR($A6="",MONTH(($J$2+20-2))&lt;&gt;MONTH($J$2)),"",IFERROR(IF(COUNT(INDEX(NHAP_LIEU!$H$5:$S$10004,MATCH(1,INDEX((NHAP_LIEU!$A$5:$A$10004=($J$2+20-2))*(NHAP_LIEU!$B$5:$B$10004=$A6),0),0),0))=0,"",SUM(INDEX(NHAP_LIEU!$H$5:$S$10004,MATCH(1,INDEX((NHAP_LIEU!$A$5:$A$10004=($J$2+20-2))*(NHAP_LIEU!$B$5:$B$10004=$A6),0),0),0))),""))</f>
        <v/>
      </c>
      <c r="U6" s="20" t="str">
        <f aca="false">IF(OR($A6="",MONTH(($J$2+21-2))&lt;&gt;MONTH($J$2)),"",IFERROR(IF(COUNT(INDEX(NHAP_LIEU!$H$5:$S$10004,MATCH(1,INDEX((NHAP_LIEU!$A$5:$A$10004=($J$2+21-2))*(NHAP_LIEU!$B$5:$B$10004=$A6),0),0),0))=0,"",SUM(INDEX(NHAP_LIEU!$H$5:$S$10004,MATCH(1,INDEX((NHAP_LIEU!$A$5:$A$10004=($J$2+21-2))*(NHAP_LIEU!$B$5:$B$10004=$A6),0),0),0))),""))</f>
        <v/>
      </c>
      <c r="V6" s="20" t="str">
        <f aca="false">IF(OR($A6="",MONTH(($J$2+22-2))&lt;&gt;MONTH($J$2)),"",IFERROR(IF(COUNT(INDEX(NHAP_LIEU!$H$5:$S$10004,MATCH(1,INDEX((NHAP_LIEU!$A$5:$A$10004=($J$2+22-2))*(NHAP_LIEU!$B$5:$B$10004=$A6),0),0),0))=0,"",SUM(INDEX(NHAP_LIEU!$H$5:$S$10004,MATCH(1,INDEX((NHAP_LIEU!$A$5:$A$10004=($J$2+22-2))*(NHAP_LIEU!$B$5:$B$10004=$A6),0),0),0))),""))</f>
        <v/>
      </c>
      <c r="W6" s="20" t="str">
        <f aca="false">IF(OR($A6="",MONTH(($J$2+23-2))&lt;&gt;MONTH($J$2)),"",IFERROR(IF(COUNT(INDEX(NHAP_LIEU!$H$5:$S$10004,MATCH(1,INDEX((NHAP_LIEU!$A$5:$A$10004=($J$2+23-2))*(NHAP_LIEU!$B$5:$B$10004=$A6),0),0),0))=0,"",SUM(INDEX(NHAP_LIEU!$H$5:$S$10004,MATCH(1,INDEX((NHAP_LIEU!$A$5:$A$10004=($J$2+23-2))*(NHAP_LIEU!$B$5:$B$10004=$A6),0),0),0))),""))</f>
        <v/>
      </c>
      <c r="X6" s="20" t="str">
        <f aca="false">IF(OR($A6="",MONTH(($J$2+24-2))&lt;&gt;MONTH($J$2)),"",IFERROR(IF(COUNT(INDEX(NHAP_LIEU!$H$5:$S$10004,MATCH(1,INDEX((NHAP_LIEU!$A$5:$A$10004=($J$2+24-2))*(NHAP_LIEU!$B$5:$B$10004=$A6),0),0),0))=0,"",SUM(INDEX(NHAP_LIEU!$H$5:$S$10004,MATCH(1,INDEX((NHAP_LIEU!$A$5:$A$10004=($J$2+24-2))*(NHAP_LIEU!$B$5:$B$10004=$A6),0),0),0))),""))</f>
        <v/>
      </c>
      <c r="Y6" s="20" t="str">
        <f aca="false">IF(OR($A6="",MONTH(($J$2+25-2))&lt;&gt;MONTH($J$2)),"",IFERROR(IF(COUNT(INDEX(NHAP_LIEU!$H$5:$S$10004,MATCH(1,INDEX((NHAP_LIEU!$A$5:$A$10004=($J$2+25-2))*(NHAP_LIEU!$B$5:$B$10004=$A6),0),0),0))=0,"",SUM(INDEX(NHAP_LIEU!$H$5:$S$10004,MATCH(1,INDEX((NHAP_LIEU!$A$5:$A$10004=($J$2+25-2))*(NHAP_LIEU!$B$5:$B$10004=$A6),0),0),0))),""))</f>
        <v/>
      </c>
      <c r="Z6" s="20" t="str">
        <f aca="false">IF(OR($A6="",MONTH(($J$2+26-2))&lt;&gt;MONTH($J$2)),"",IFERROR(IF(COUNT(INDEX(NHAP_LIEU!$H$5:$S$10004,MATCH(1,INDEX((NHAP_LIEU!$A$5:$A$10004=($J$2+26-2))*(NHAP_LIEU!$B$5:$B$10004=$A6),0),0),0))=0,"",SUM(INDEX(NHAP_LIEU!$H$5:$S$10004,MATCH(1,INDEX((NHAP_LIEU!$A$5:$A$10004=($J$2+26-2))*(NHAP_LIEU!$B$5:$B$10004=$A6),0),0),0))),""))</f>
        <v/>
      </c>
      <c r="AA6" s="20" t="str">
        <f aca="false">IF(OR($A6="",MONTH(($J$2+27-2))&lt;&gt;MONTH($J$2)),"",IFERROR(IF(COUNT(INDEX(NHAP_LIEU!$H$5:$S$10004,MATCH(1,INDEX((NHAP_LIEU!$A$5:$A$10004=($J$2+27-2))*(NHAP_LIEU!$B$5:$B$10004=$A6),0),0),0))=0,"",SUM(INDEX(NHAP_LIEU!$H$5:$S$10004,MATCH(1,INDEX((NHAP_LIEU!$A$5:$A$10004=($J$2+27-2))*(NHAP_LIEU!$B$5:$B$10004=$A6),0),0),0))),""))</f>
        <v/>
      </c>
      <c r="AB6" s="20" t="str">
        <f aca="false">IF(OR($A6="",MONTH(($J$2+28-2))&lt;&gt;MONTH($J$2)),"",IFERROR(IF(COUNT(INDEX(NHAP_LIEU!$H$5:$S$10004,MATCH(1,INDEX((NHAP_LIEU!$A$5:$A$10004=($J$2+28-2))*(NHAP_LIEU!$B$5:$B$10004=$A6),0),0),0))=0,"",SUM(INDEX(NHAP_LIEU!$H$5:$S$10004,MATCH(1,INDEX((NHAP_LIEU!$A$5:$A$10004=($J$2+28-2))*(NHAP_LIEU!$B$5:$B$10004=$A6),0),0),0))),""))</f>
        <v/>
      </c>
      <c r="AC6" s="20" t="str">
        <f aca="false">IF(OR($A6="",MONTH(($J$2+29-2))&lt;&gt;MONTH($J$2)),"",IFERROR(IF(COUNT(INDEX(NHAP_LIEU!$H$5:$S$10004,MATCH(1,INDEX((NHAP_LIEU!$A$5:$A$10004=($J$2+29-2))*(NHAP_LIEU!$B$5:$B$10004=$A6),0),0),0))=0,"",SUM(INDEX(NHAP_LIEU!$H$5:$S$10004,MATCH(1,INDEX((NHAP_LIEU!$A$5:$A$10004=($J$2+29-2))*(NHAP_LIEU!$B$5:$B$10004=$A6),0),0),0))),""))</f>
        <v/>
      </c>
      <c r="AD6" s="20" t="str">
        <f aca="false">IF(OR($A6="",MONTH(($J$2+30-2))&lt;&gt;MONTH($J$2)),"",IFERROR(IF(COUNT(INDEX(NHAP_LIEU!$H$5:$S$10004,MATCH(1,INDEX((NHAP_LIEU!$A$5:$A$10004=($J$2+30-2))*(NHAP_LIEU!$B$5:$B$10004=$A6),0),0),0))=0,"",SUM(INDEX(NHAP_LIEU!$H$5:$S$10004,MATCH(1,INDEX((NHAP_LIEU!$A$5:$A$10004=($J$2+30-2))*(NHAP_LIEU!$B$5:$B$10004=$A6),0),0),0))),""))</f>
        <v/>
      </c>
      <c r="AE6" s="20" t="str">
        <f aca="false">IF(OR($A6="",MONTH(($J$2+31-2))&lt;&gt;MONTH($J$2)),"",IFERROR(IF(COUNT(INDEX(NHAP_LIEU!$H$5:$S$10004,MATCH(1,INDEX((NHAP_LIEU!$A$5:$A$10004=($J$2+31-2))*(NHAP_LIEU!$B$5:$B$10004=$A6),0),0),0))=0,"",SUM(INDEX(NHAP_LIEU!$H$5:$S$10004,MATCH(1,INDEX((NHAP_LIEU!$A$5:$A$10004=($J$2+31-2))*(NHAP_LIEU!$B$5:$B$10004=$A6),0),0),0))),""))</f>
        <v/>
      </c>
      <c r="AF6" s="20" t="str">
        <f aca="false">IF(OR($A6="",MONTH(($J$2+32-2))&lt;&gt;MONTH($J$2)),"",IFERROR(IF(COUNT(INDEX(NHAP_LIEU!$H$5:$S$10004,MATCH(1,INDEX((NHAP_LIEU!$A$5:$A$10004=($J$2+32-2))*(NHAP_LIEU!$B$5:$B$10004=$A6),0),0),0))=0,"",SUM(INDEX(NHAP_LIEU!$H$5:$S$10004,MATCH(1,INDEX((NHAP_LIEU!$A$5:$A$10004=($J$2+32-2))*(NHAP_LIEU!$B$5:$B$10004=$A6),0),0),0))),""))</f>
        <v/>
      </c>
      <c r="AG6" s="52" t="n">
        <f aca="false">IF($A6="","",SUM(B6:AF6))</f>
        <v>1000</v>
      </c>
      <c r="AH6" s="20" t="n">
        <f aca="false">IF($A6="","",SUMPRODUCT((NHAP_LIEU!$B$5:$B$10004=$A6)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1600</v>
      </c>
      <c r="AI6" s="53" t="n">
        <f aca="false">IF(OR($A6="",N(AH6)=0),"",AG6/AH6)</f>
        <v>0.625</v>
      </c>
    </row>
    <row r="7" customFormat="false" ht="15" hidden="false" customHeight="false" outlineLevel="0" collapsed="false">
      <c r="A7" s="51" t="str">
        <f aca="false">IF(DANH_SACH_CHUYEN!B6="","",DANH_SACH_CHUYEN!B6)</f>
        <v>Chuyền 2</v>
      </c>
      <c r="B7" s="20" t="n">
        <f aca="false">IF(OR($A7="",MONTH(($J$2+2-2))&lt;&gt;MONTH($J$2)),"",IFERROR(IF(COUNT(INDEX(NHAP_LIEU!$H$5:$S$10004,MATCH(1,INDEX((NHAP_LIEU!$A$5:$A$10004=($J$2+2-2))*(NHAP_LIEU!$B$5:$B$10004=$A7),0),0),0))=0,"",SUM(INDEX(NHAP_LIEU!$H$5:$S$10004,MATCH(1,INDEX((NHAP_LIEU!$A$5:$A$10004=($J$2+2-2))*(NHAP_LIEU!$B$5:$B$10004=$A7),0),0),0))),""))</f>
        <v>900</v>
      </c>
      <c r="C7" s="20" t="n">
        <f aca="false">IF(OR($A7="",MONTH(($J$2+3-2))&lt;&gt;MONTH($J$2)),"",IFERROR(IF(COUNT(INDEX(NHAP_LIEU!$H$5:$S$10004,MATCH(1,INDEX((NHAP_LIEU!$A$5:$A$10004=($J$2+3-2))*(NHAP_LIEU!$B$5:$B$10004=$A7),0),0),0))=0,"",SUM(INDEX(NHAP_LIEU!$H$5:$S$10004,MATCH(1,INDEX((NHAP_LIEU!$A$5:$A$10004=($J$2+3-2))*(NHAP_LIEU!$B$5:$B$10004=$A7),0),0),0))),""))</f>
        <v>240</v>
      </c>
      <c r="D7" s="20" t="str">
        <f aca="false">IF(OR($A7="",MONTH(($J$2+4-2))&lt;&gt;MONTH($J$2)),"",IFERROR(IF(COUNT(INDEX(NHAP_LIEU!$H$5:$S$10004,MATCH(1,INDEX((NHAP_LIEU!$A$5:$A$10004=($J$2+4-2))*(NHAP_LIEU!$B$5:$B$10004=$A7),0),0),0))=0,"",SUM(INDEX(NHAP_LIEU!$H$5:$S$10004,MATCH(1,INDEX((NHAP_LIEU!$A$5:$A$10004=($J$2+4-2))*(NHAP_LIEU!$B$5:$B$10004=$A7),0),0),0))),""))</f>
        <v/>
      </c>
      <c r="E7" s="20" t="str">
        <f aca="false">IF(OR($A7="",MONTH(($J$2+5-2))&lt;&gt;MONTH($J$2)),"",IFERROR(IF(COUNT(INDEX(NHAP_LIEU!$H$5:$S$10004,MATCH(1,INDEX((NHAP_LIEU!$A$5:$A$10004=($J$2+5-2))*(NHAP_LIEU!$B$5:$B$10004=$A7),0),0),0))=0,"",SUM(INDEX(NHAP_LIEU!$H$5:$S$10004,MATCH(1,INDEX((NHAP_LIEU!$A$5:$A$10004=($J$2+5-2))*(NHAP_LIEU!$B$5:$B$10004=$A7),0),0),0))),""))</f>
        <v/>
      </c>
      <c r="F7" s="20" t="str">
        <f aca="false">IF(OR($A7="",MONTH(($J$2+6-2))&lt;&gt;MONTH($J$2)),"",IFERROR(IF(COUNT(INDEX(NHAP_LIEU!$H$5:$S$10004,MATCH(1,INDEX((NHAP_LIEU!$A$5:$A$10004=($J$2+6-2))*(NHAP_LIEU!$B$5:$B$10004=$A7),0),0),0))=0,"",SUM(INDEX(NHAP_LIEU!$H$5:$S$10004,MATCH(1,INDEX((NHAP_LIEU!$A$5:$A$10004=($J$2+6-2))*(NHAP_LIEU!$B$5:$B$10004=$A7),0),0),0))),""))</f>
        <v/>
      </c>
      <c r="G7" s="20" t="str">
        <f aca="false">IF(OR($A7="",MONTH(($J$2+7-2))&lt;&gt;MONTH($J$2)),"",IFERROR(IF(COUNT(INDEX(NHAP_LIEU!$H$5:$S$10004,MATCH(1,INDEX((NHAP_LIEU!$A$5:$A$10004=($J$2+7-2))*(NHAP_LIEU!$B$5:$B$10004=$A7),0),0),0))=0,"",SUM(INDEX(NHAP_LIEU!$H$5:$S$10004,MATCH(1,INDEX((NHAP_LIEU!$A$5:$A$10004=($J$2+7-2))*(NHAP_LIEU!$B$5:$B$10004=$A7),0),0),0))),""))</f>
        <v/>
      </c>
      <c r="H7" s="20" t="str">
        <f aca="false">IF(OR($A7="",MONTH(($J$2+8-2))&lt;&gt;MONTH($J$2)),"",IFERROR(IF(COUNT(INDEX(NHAP_LIEU!$H$5:$S$10004,MATCH(1,INDEX((NHAP_LIEU!$A$5:$A$10004=($J$2+8-2))*(NHAP_LIEU!$B$5:$B$10004=$A7),0),0),0))=0,"",SUM(INDEX(NHAP_LIEU!$H$5:$S$10004,MATCH(1,INDEX((NHAP_LIEU!$A$5:$A$10004=($J$2+8-2))*(NHAP_LIEU!$B$5:$B$10004=$A7),0),0),0))),""))</f>
        <v/>
      </c>
      <c r="I7" s="20" t="str">
        <f aca="false">IF(OR($A7="",MONTH(($J$2+9-2))&lt;&gt;MONTH($J$2)),"",IFERROR(IF(COUNT(INDEX(NHAP_LIEU!$H$5:$S$10004,MATCH(1,INDEX((NHAP_LIEU!$A$5:$A$10004=($J$2+9-2))*(NHAP_LIEU!$B$5:$B$10004=$A7),0),0),0))=0,"",SUM(INDEX(NHAP_LIEU!$H$5:$S$10004,MATCH(1,INDEX((NHAP_LIEU!$A$5:$A$10004=($J$2+9-2))*(NHAP_LIEU!$B$5:$B$10004=$A7),0),0),0))),""))</f>
        <v/>
      </c>
      <c r="J7" s="20" t="str">
        <f aca="false">IF(OR($A7="",MONTH(($J$2+10-2))&lt;&gt;MONTH($J$2)),"",IFERROR(IF(COUNT(INDEX(NHAP_LIEU!$H$5:$S$10004,MATCH(1,INDEX((NHAP_LIEU!$A$5:$A$10004=($J$2+10-2))*(NHAP_LIEU!$B$5:$B$10004=$A7),0),0),0))=0,"",SUM(INDEX(NHAP_LIEU!$H$5:$S$10004,MATCH(1,INDEX((NHAP_LIEU!$A$5:$A$10004=($J$2+10-2))*(NHAP_LIEU!$B$5:$B$10004=$A7),0),0),0))),""))</f>
        <v/>
      </c>
      <c r="K7" s="20" t="str">
        <f aca="false">IF(OR($A7="",MONTH(($J$2+11-2))&lt;&gt;MONTH($J$2)),"",IFERROR(IF(COUNT(INDEX(NHAP_LIEU!$H$5:$S$10004,MATCH(1,INDEX((NHAP_LIEU!$A$5:$A$10004=($J$2+11-2))*(NHAP_LIEU!$B$5:$B$10004=$A7),0),0),0))=0,"",SUM(INDEX(NHAP_LIEU!$H$5:$S$10004,MATCH(1,INDEX((NHAP_LIEU!$A$5:$A$10004=($J$2+11-2))*(NHAP_LIEU!$B$5:$B$10004=$A7),0),0),0))),""))</f>
        <v/>
      </c>
      <c r="L7" s="20" t="str">
        <f aca="false">IF(OR($A7="",MONTH(($J$2+12-2))&lt;&gt;MONTH($J$2)),"",IFERROR(IF(COUNT(INDEX(NHAP_LIEU!$H$5:$S$10004,MATCH(1,INDEX((NHAP_LIEU!$A$5:$A$10004=($J$2+12-2))*(NHAP_LIEU!$B$5:$B$10004=$A7),0),0),0))=0,"",SUM(INDEX(NHAP_LIEU!$H$5:$S$10004,MATCH(1,INDEX((NHAP_LIEU!$A$5:$A$10004=($J$2+12-2))*(NHAP_LIEU!$B$5:$B$10004=$A7),0),0),0))),""))</f>
        <v/>
      </c>
      <c r="M7" s="20" t="str">
        <f aca="false">IF(OR($A7="",MONTH(($J$2+13-2))&lt;&gt;MONTH($J$2)),"",IFERROR(IF(COUNT(INDEX(NHAP_LIEU!$H$5:$S$10004,MATCH(1,INDEX((NHAP_LIEU!$A$5:$A$10004=($J$2+13-2))*(NHAP_LIEU!$B$5:$B$10004=$A7),0),0),0))=0,"",SUM(INDEX(NHAP_LIEU!$H$5:$S$10004,MATCH(1,INDEX((NHAP_LIEU!$A$5:$A$10004=($J$2+13-2))*(NHAP_LIEU!$B$5:$B$10004=$A7),0),0),0))),""))</f>
        <v/>
      </c>
      <c r="N7" s="20" t="str">
        <f aca="false">IF(OR($A7="",MONTH(($J$2+14-2))&lt;&gt;MONTH($J$2)),"",IFERROR(IF(COUNT(INDEX(NHAP_LIEU!$H$5:$S$10004,MATCH(1,INDEX((NHAP_LIEU!$A$5:$A$10004=($J$2+14-2))*(NHAP_LIEU!$B$5:$B$10004=$A7),0),0),0))=0,"",SUM(INDEX(NHAP_LIEU!$H$5:$S$10004,MATCH(1,INDEX((NHAP_LIEU!$A$5:$A$10004=($J$2+14-2))*(NHAP_LIEU!$B$5:$B$10004=$A7),0),0),0))),""))</f>
        <v/>
      </c>
      <c r="O7" s="20" t="str">
        <f aca="false">IF(OR($A7="",MONTH(($J$2+15-2))&lt;&gt;MONTH($J$2)),"",IFERROR(IF(COUNT(INDEX(NHAP_LIEU!$H$5:$S$10004,MATCH(1,INDEX((NHAP_LIEU!$A$5:$A$10004=($J$2+15-2))*(NHAP_LIEU!$B$5:$B$10004=$A7),0),0),0))=0,"",SUM(INDEX(NHAP_LIEU!$H$5:$S$10004,MATCH(1,INDEX((NHAP_LIEU!$A$5:$A$10004=($J$2+15-2))*(NHAP_LIEU!$B$5:$B$10004=$A7),0),0),0))),""))</f>
        <v/>
      </c>
      <c r="P7" s="20" t="str">
        <f aca="false">IF(OR($A7="",MONTH(($J$2+16-2))&lt;&gt;MONTH($J$2)),"",IFERROR(IF(COUNT(INDEX(NHAP_LIEU!$H$5:$S$10004,MATCH(1,INDEX((NHAP_LIEU!$A$5:$A$10004=($J$2+16-2))*(NHAP_LIEU!$B$5:$B$10004=$A7),0),0),0))=0,"",SUM(INDEX(NHAP_LIEU!$H$5:$S$10004,MATCH(1,INDEX((NHAP_LIEU!$A$5:$A$10004=($J$2+16-2))*(NHAP_LIEU!$B$5:$B$10004=$A7),0),0),0))),""))</f>
        <v/>
      </c>
      <c r="Q7" s="20" t="str">
        <f aca="false">IF(OR($A7="",MONTH(($J$2+17-2))&lt;&gt;MONTH($J$2)),"",IFERROR(IF(COUNT(INDEX(NHAP_LIEU!$H$5:$S$10004,MATCH(1,INDEX((NHAP_LIEU!$A$5:$A$10004=($J$2+17-2))*(NHAP_LIEU!$B$5:$B$10004=$A7),0),0),0))=0,"",SUM(INDEX(NHAP_LIEU!$H$5:$S$10004,MATCH(1,INDEX((NHAP_LIEU!$A$5:$A$10004=($J$2+17-2))*(NHAP_LIEU!$B$5:$B$10004=$A7),0),0),0))),""))</f>
        <v/>
      </c>
      <c r="R7" s="20" t="str">
        <f aca="false">IF(OR($A7="",MONTH(($J$2+18-2))&lt;&gt;MONTH($J$2)),"",IFERROR(IF(COUNT(INDEX(NHAP_LIEU!$H$5:$S$10004,MATCH(1,INDEX((NHAP_LIEU!$A$5:$A$10004=($J$2+18-2))*(NHAP_LIEU!$B$5:$B$10004=$A7),0),0),0))=0,"",SUM(INDEX(NHAP_LIEU!$H$5:$S$10004,MATCH(1,INDEX((NHAP_LIEU!$A$5:$A$10004=($J$2+18-2))*(NHAP_LIEU!$B$5:$B$10004=$A7),0),0),0))),""))</f>
        <v/>
      </c>
      <c r="S7" s="20" t="str">
        <f aca="false">IF(OR($A7="",MONTH(($J$2+19-2))&lt;&gt;MONTH($J$2)),"",IFERROR(IF(COUNT(INDEX(NHAP_LIEU!$H$5:$S$10004,MATCH(1,INDEX((NHAP_LIEU!$A$5:$A$10004=($J$2+19-2))*(NHAP_LIEU!$B$5:$B$10004=$A7),0),0),0))=0,"",SUM(INDEX(NHAP_LIEU!$H$5:$S$10004,MATCH(1,INDEX((NHAP_LIEU!$A$5:$A$10004=($J$2+19-2))*(NHAP_LIEU!$B$5:$B$10004=$A7),0),0),0))),""))</f>
        <v/>
      </c>
      <c r="T7" s="20" t="str">
        <f aca="false">IF(OR($A7="",MONTH(($J$2+20-2))&lt;&gt;MONTH($J$2)),"",IFERROR(IF(COUNT(INDEX(NHAP_LIEU!$H$5:$S$10004,MATCH(1,INDEX((NHAP_LIEU!$A$5:$A$10004=($J$2+20-2))*(NHAP_LIEU!$B$5:$B$10004=$A7),0),0),0))=0,"",SUM(INDEX(NHAP_LIEU!$H$5:$S$10004,MATCH(1,INDEX((NHAP_LIEU!$A$5:$A$10004=($J$2+20-2))*(NHAP_LIEU!$B$5:$B$10004=$A7),0),0),0))),""))</f>
        <v/>
      </c>
      <c r="U7" s="20" t="str">
        <f aca="false">IF(OR($A7="",MONTH(($J$2+21-2))&lt;&gt;MONTH($J$2)),"",IFERROR(IF(COUNT(INDEX(NHAP_LIEU!$H$5:$S$10004,MATCH(1,INDEX((NHAP_LIEU!$A$5:$A$10004=($J$2+21-2))*(NHAP_LIEU!$B$5:$B$10004=$A7),0),0),0))=0,"",SUM(INDEX(NHAP_LIEU!$H$5:$S$10004,MATCH(1,INDEX((NHAP_LIEU!$A$5:$A$10004=($J$2+21-2))*(NHAP_LIEU!$B$5:$B$10004=$A7),0),0),0))),""))</f>
        <v/>
      </c>
      <c r="V7" s="20" t="str">
        <f aca="false">IF(OR($A7="",MONTH(($J$2+22-2))&lt;&gt;MONTH($J$2)),"",IFERROR(IF(COUNT(INDEX(NHAP_LIEU!$H$5:$S$10004,MATCH(1,INDEX((NHAP_LIEU!$A$5:$A$10004=($J$2+22-2))*(NHAP_LIEU!$B$5:$B$10004=$A7),0),0),0))=0,"",SUM(INDEX(NHAP_LIEU!$H$5:$S$10004,MATCH(1,INDEX((NHAP_LIEU!$A$5:$A$10004=($J$2+22-2))*(NHAP_LIEU!$B$5:$B$10004=$A7),0),0),0))),""))</f>
        <v/>
      </c>
      <c r="W7" s="20" t="str">
        <f aca="false">IF(OR($A7="",MONTH(($J$2+23-2))&lt;&gt;MONTH($J$2)),"",IFERROR(IF(COUNT(INDEX(NHAP_LIEU!$H$5:$S$10004,MATCH(1,INDEX((NHAP_LIEU!$A$5:$A$10004=($J$2+23-2))*(NHAP_LIEU!$B$5:$B$10004=$A7),0),0),0))=0,"",SUM(INDEX(NHAP_LIEU!$H$5:$S$10004,MATCH(1,INDEX((NHAP_LIEU!$A$5:$A$10004=($J$2+23-2))*(NHAP_LIEU!$B$5:$B$10004=$A7),0),0),0))),""))</f>
        <v/>
      </c>
      <c r="X7" s="20" t="str">
        <f aca="false">IF(OR($A7="",MONTH(($J$2+24-2))&lt;&gt;MONTH($J$2)),"",IFERROR(IF(COUNT(INDEX(NHAP_LIEU!$H$5:$S$10004,MATCH(1,INDEX((NHAP_LIEU!$A$5:$A$10004=($J$2+24-2))*(NHAP_LIEU!$B$5:$B$10004=$A7),0),0),0))=0,"",SUM(INDEX(NHAP_LIEU!$H$5:$S$10004,MATCH(1,INDEX((NHAP_LIEU!$A$5:$A$10004=($J$2+24-2))*(NHAP_LIEU!$B$5:$B$10004=$A7),0),0),0))),""))</f>
        <v/>
      </c>
      <c r="Y7" s="20" t="str">
        <f aca="false">IF(OR($A7="",MONTH(($J$2+25-2))&lt;&gt;MONTH($J$2)),"",IFERROR(IF(COUNT(INDEX(NHAP_LIEU!$H$5:$S$10004,MATCH(1,INDEX((NHAP_LIEU!$A$5:$A$10004=($J$2+25-2))*(NHAP_LIEU!$B$5:$B$10004=$A7),0),0),0))=0,"",SUM(INDEX(NHAP_LIEU!$H$5:$S$10004,MATCH(1,INDEX((NHAP_LIEU!$A$5:$A$10004=($J$2+25-2))*(NHAP_LIEU!$B$5:$B$10004=$A7),0),0),0))),""))</f>
        <v/>
      </c>
      <c r="Z7" s="20" t="str">
        <f aca="false">IF(OR($A7="",MONTH(($J$2+26-2))&lt;&gt;MONTH($J$2)),"",IFERROR(IF(COUNT(INDEX(NHAP_LIEU!$H$5:$S$10004,MATCH(1,INDEX((NHAP_LIEU!$A$5:$A$10004=($J$2+26-2))*(NHAP_LIEU!$B$5:$B$10004=$A7),0),0),0))=0,"",SUM(INDEX(NHAP_LIEU!$H$5:$S$10004,MATCH(1,INDEX((NHAP_LIEU!$A$5:$A$10004=($J$2+26-2))*(NHAP_LIEU!$B$5:$B$10004=$A7),0),0),0))),""))</f>
        <v/>
      </c>
      <c r="AA7" s="20" t="str">
        <f aca="false">IF(OR($A7="",MONTH(($J$2+27-2))&lt;&gt;MONTH($J$2)),"",IFERROR(IF(COUNT(INDEX(NHAP_LIEU!$H$5:$S$10004,MATCH(1,INDEX((NHAP_LIEU!$A$5:$A$10004=($J$2+27-2))*(NHAP_LIEU!$B$5:$B$10004=$A7),0),0),0))=0,"",SUM(INDEX(NHAP_LIEU!$H$5:$S$10004,MATCH(1,INDEX((NHAP_LIEU!$A$5:$A$10004=($J$2+27-2))*(NHAP_LIEU!$B$5:$B$10004=$A7),0),0),0))),""))</f>
        <v/>
      </c>
      <c r="AB7" s="20" t="str">
        <f aca="false">IF(OR($A7="",MONTH(($J$2+28-2))&lt;&gt;MONTH($J$2)),"",IFERROR(IF(COUNT(INDEX(NHAP_LIEU!$H$5:$S$10004,MATCH(1,INDEX((NHAP_LIEU!$A$5:$A$10004=($J$2+28-2))*(NHAP_LIEU!$B$5:$B$10004=$A7),0),0),0))=0,"",SUM(INDEX(NHAP_LIEU!$H$5:$S$10004,MATCH(1,INDEX((NHAP_LIEU!$A$5:$A$10004=($J$2+28-2))*(NHAP_LIEU!$B$5:$B$10004=$A7),0),0),0))),""))</f>
        <v/>
      </c>
      <c r="AC7" s="20" t="str">
        <f aca="false">IF(OR($A7="",MONTH(($J$2+29-2))&lt;&gt;MONTH($J$2)),"",IFERROR(IF(COUNT(INDEX(NHAP_LIEU!$H$5:$S$10004,MATCH(1,INDEX((NHAP_LIEU!$A$5:$A$10004=($J$2+29-2))*(NHAP_LIEU!$B$5:$B$10004=$A7),0),0),0))=0,"",SUM(INDEX(NHAP_LIEU!$H$5:$S$10004,MATCH(1,INDEX((NHAP_LIEU!$A$5:$A$10004=($J$2+29-2))*(NHAP_LIEU!$B$5:$B$10004=$A7),0),0),0))),""))</f>
        <v/>
      </c>
      <c r="AD7" s="20" t="str">
        <f aca="false">IF(OR($A7="",MONTH(($J$2+30-2))&lt;&gt;MONTH($J$2)),"",IFERROR(IF(COUNT(INDEX(NHAP_LIEU!$H$5:$S$10004,MATCH(1,INDEX((NHAP_LIEU!$A$5:$A$10004=($J$2+30-2))*(NHAP_LIEU!$B$5:$B$10004=$A7),0),0),0))=0,"",SUM(INDEX(NHAP_LIEU!$H$5:$S$10004,MATCH(1,INDEX((NHAP_LIEU!$A$5:$A$10004=($J$2+30-2))*(NHAP_LIEU!$B$5:$B$10004=$A7),0),0),0))),""))</f>
        <v/>
      </c>
      <c r="AE7" s="20" t="str">
        <f aca="false">IF(OR($A7="",MONTH(($J$2+31-2))&lt;&gt;MONTH($J$2)),"",IFERROR(IF(COUNT(INDEX(NHAP_LIEU!$H$5:$S$10004,MATCH(1,INDEX((NHAP_LIEU!$A$5:$A$10004=($J$2+31-2))*(NHAP_LIEU!$B$5:$B$10004=$A7),0),0),0))=0,"",SUM(INDEX(NHAP_LIEU!$H$5:$S$10004,MATCH(1,INDEX((NHAP_LIEU!$A$5:$A$10004=($J$2+31-2))*(NHAP_LIEU!$B$5:$B$10004=$A7),0),0),0))),""))</f>
        <v/>
      </c>
      <c r="AF7" s="20" t="str">
        <f aca="false">IF(OR($A7="",MONTH(($J$2+32-2))&lt;&gt;MONTH($J$2)),"",IFERROR(IF(COUNT(INDEX(NHAP_LIEU!$H$5:$S$10004,MATCH(1,INDEX((NHAP_LIEU!$A$5:$A$10004=($J$2+32-2))*(NHAP_LIEU!$B$5:$B$10004=$A7),0),0),0))=0,"",SUM(INDEX(NHAP_LIEU!$H$5:$S$10004,MATCH(1,INDEX((NHAP_LIEU!$A$5:$A$10004=($J$2+32-2))*(NHAP_LIEU!$B$5:$B$10004=$A7),0),0),0))),""))</f>
        <v/>
      </c>
      <c r="AG7" s="52" t="n">
        <f aca="false">IF($A7="","",SUM(B7:AF7))</f>
        <v>1140</v>
      </c>
      <c r="AH7" s="20" t="n">
        <f aca="false">IF($A7="","",SUMPRODUCT((NHAP_LIEU!$B$5:$B$10004=$A7)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2000</v>
      </c>
      <c r="AI7" s="53" t="n">
        <f aca="false">IF(OR($A7="",N(AH7)=0),"",AG7/AH7)</f>
        <v>0.57</v>
      </c>
    </row>
    <row r="8" customFormat="false" ht="15" hidden="false" customHeight="false" outlineLevel="0" collapsed="false">
      <c r="A8" s="51" t="str">
        <f aca="false">IF(DANH_SACH_CHUYEN!B7="","",DANH_SACH_CHUYEN!B7)</f>
        <v>Chuyền 3</v>
      </c>
      <c r="B8" s="20" t="n">
        <f aca="false">IF(OR($A8="",MONTH(($J$2+2-2))&lt;&gt;MONTH($J$2)),"",IFERROR(IF(COUNT(INDEX(NHAP_LIEU!$H$5:$S$10004,MATCH(1,INDEX((NHAP_LIEU!$A$5:$A$10004=($J$2+2-2))*(NHAP_LIEU!$B$5:$B$10004=$A8),0),0),0))=0,"",SUM(INDEX(NHAP_LIEU!$H$5:$S$10004,MATCH(1,INDEX((NHAP_LIEU!$A$5:$A$10004=($J$2+2-2))*(NHAP_LIEU!$B$5:$B$10004=$A8),0),0),0))),""))</f>
        <v>2035</v>
      </c>
      <c r="C8" s="20" t="str">
        <f aca="false">IF(OR($A8="",MONTH(($J$2+3-2))&lt;&gt;MONTH($J$2)),"",IFERROR(IF(COUNT(INDEX(NHAP_LIEU!$H$5:$S$10004,MATCH(1,INDEX((NHAP_LIEU!$A$5:$A$10004=($J$2+3-2))*(NHAP_LIEU!$B$5:$B$10004=$A8),0),0),0))=0,"",SUM(INDEX(NHAP_LIEU!$H$5:$S$10004,MATCH(1,INDEX((NHAP_LIEU!$A$5:$A$10004=($J$2+3-2))*(NHAP_LIEU!$B$5:$B$10004=$A8),0),0),0))),""))</f>
        <v/>
      </c>
      <c r="D8" s="20" t="str">
        <f aca="false">IF(OR($A8="",MONTH(($J$2+4-2))&lt;&gt;MONTH($J$2)),"",IFERROR(IF(COUNT(INDEX(NHAP_LIEU!$H$5:$S$10004,MATCH(1,INDEX((NHAP_LIEU!$A$5:$A$10004=($J$2+4-2))*(NHAP_LIEU!$B$5:$B$10004=$A8),0),0),0))=0,"",SUM(INDEX(NHAP_LIEU!$H$5:$S$10004,MATCH(1,INDEX((NHAP_LIEU!$A$5:$A$10004=($J$2+4-2))*(NHAP_LIEU!$B$5:$B$10004=$A8),0),0),0))),""))</f>
        <v/>
      </c>
      <c r="E8" s="20" t="str">
        <f aca="false">IF(OR($A8="",MONTH(($J$2+5-2))&lt;&gt;MONTH($J$2)),"",IFERROR(IF(COUNT(INDEX(NHAP_LIEU!$H$5:$S$10004,MATCH(1,INDEX((NHAP_LIEU!$A$5:$A$10004=($J$2+5-2))*(NHAP_LIEU!$B$5:$B$10004=$A8),0),0),0))=0,"",SUM(INDEX(NHAP_LIEU!$H$5:$S$10004,MATCH(1,INDEX((NHAP_LIEU!$A$5:$A$10004=($J$2+5-2))*(NHAP_LIEU!$B$5:$B$10004=$A8),0),0),0))),""))</f>
        <v/>
      </c>
      <c r="F8" s="20" t="str">
        <f aca="false">IF(OR($A8="",MONTH(($J$2+6-2))&lt;&gt;MONTH($J$2)),"",IFERROR(IF(COUNT(INDEX(NHAP_LIEU!$H$5:$S$10004,MATCH(1,INDEX((NHAP_LIEU!$A$5:$A$10004=($J$2+6-2))*(NHAP_LIEU!$B$5:$B$10004=$A8),0),0),0))=0,"",SUM(INDEX(NHAP_LIEU!$H$5:$S$10004,MATCH(1,INDEX((NHAP_LIEU!$A$5:$A$10004=($J$2+6-2))*(NHAP_LIEU!$B$5:$B$10004=$A8),0),0),0))),""))</f>
        <v/>
      </c>
      <c r="G8" s="20" t="str">
        <f aca="false">IF(OR($A8="",MONTH(($J$2+7-2))&lt;&gt;MONTH($J$2)),"",IFERROR(IF(COUNT(INDEX(NHAP_LIEU!$H$5:$S$10004,MATCH(1,INDEX((NHAP_LIEU!$A$5:$A$10004=($J$2+7-2))*(NHAP_LIEU!$B$5:$B$10004=$A8),0),0),0))=0,"",SUM(INDEX(NHAP_LIEU!$H$5:$S$10004,MATCH(1,INDEX((NHAP_LIEU!$A$5:$A$10004=($J$2+7-2))*(NHAP_LIEU!$B$5:$B$10004=$A8),0),0),0))),""))</f>
        <v/>
      </c>
      <c r="H8" s="20" t="str">
        <f aca="false">IF(OR($A8="",MONTH(($J$2+8-2))&lt;&gt;MONTH($J$2)),"",IFERROR(IF(COUNT(INDEX(NHAP_LIEU!$H$5:$S$10004,MATCH(1,INDEX((NHAP_LIEU!$A$5:$A$10004=($J$2+8-2))*(NHAP_LIEU!$B$5:$B$10004=$A8),0),0),0))=0,"",SUM(INDEX(NHAP_LIEU!$H$5:$S$10004,MATCH(1,INDEX((NHAP_LIEU!$A$5:$A$10004=($J$2+8-2))*(NHAP_LIEU!$B$5:$B$10004=$A8),0),0),0))),""))</f>
        <v/>
      </c>
      <c r="I8" s="20" t="str">
        <f aca="false">IF(OR($A8="",MONTH(($J$2+9-2))&lt;&gt;MONTH($J$2)),"",IFERROR(IF(COUNT(INDEX(NHAP_LIEU!$H$5:$S$10004,MATCH(1,INDEX((NHAP_LIEU!$A$5:$A$10004=($J$2+9-2))*(NHAP_LIEU!$B$5:$B$10004=$A8),0),0),0))=0,"",SUM(INDEX(NHAP_LIEU!$H$5:$S$10004,MATCH(1,INDEX((NHAP_LIEU!$A$5:$A$10004=($J$2+9-2))*(NHAP_LIEU!$B$5:$B$10004=$A8),0),0),0))),""))</f>
        <v/>
      </c>
      <c r="J8" s="20" t="str">
        <f aca="false">IF(OR($A8="",MONTH(($J$2+10-2))&lt;&gt;MONTH($J$2)),"",IFERROR(IF(COUNT(INDEX(NHAP_LIEU!$H$5:$S$10004,MATCH(1,INDEX((NHAP_LIEU!$A$5:$A$10004=($J$2+10-2))*(NHAP_LIEU!$B$5:$B$10004=$A8),0),0),0))=0,"",SUM(INDEX(NHAP_LIEU!$H$5:$S$10004,MATCH(1,INDEX((NHAP_LIEU!$A$5:$A$10004=($J$2+10-2))*(NHAP_LIEU!$B$5:$B$10004=$A8),0),0),0))),""))</f>
        <v/>
      </c>
      <c r="K8" s="20" t="str">
        <f aca="false">IF(OR($A8="",MONTH(($J$2+11-2))&lt;&gt;MONTH($J$2)),"",IFERROR(IF(COUNT(INDEX(NHAP_LIEU!$H$5:$S$10004,MATCH(1,INDEX((NHAP_LIEU!$A$5:$A$10004=($J$2+11-2))*(NHAP_LIEU!$B$5:$B$10004=$A8),0),0),0))=0,"",SUM(INDEX(NHAP_LIEU!$H$5:$S$10004,MATCH(1,INDEX((NHAP_LIEU!$A$5:$A$10004=($J$2+11-2))*(NHAP_LIEU!$B$5:$B$10004=$A8),0),0),0))),""))</f>
        <v/>
      </c>
      <c r="L8" s="20" t="str">
        <f aca="false">IF(OR($A8="",MONTH(($J$2+12-2))&lt;&gt;MONTH($J$2)),"",IFERROR(IF(COUNT(INDEX(NHAP_LIEU!$H$5:$S$10004,MATCH(1,INDEX((NHAP_LIEU!$A$5:$A$10004=($J$2+12-2))*(NHAP_LIEU!$B$5:$B$10004=$A8),0),0),0))=0,"",SUM(INDEX(NHAP_LIEU!$H$5:$S$10004,MATCH(1,INDEX((NHAP_LIEU!$A$5:$A$10004=($J$2+12-2))*(NHAP_LIEU!$B$5:$B$10004=$A8),0),0),0))),""))</f>
        <v/>
      </c>
      <c r="M8" s="20" t="str">
        <f aca="false">IF(OR($A8="",MONTH(($J$2+13-2))&lt;&gt;MONTH($J$2)),"",IFERROR(IF(COUNT(INDEX(NHAP_LIEU!$H$5:$S$10004,MATCH(1,INDEX((NHAP_LIEU!$A$5:$A$10004=($J$2+13-2))*(NHAP_LIEU!$B$5:$B$10004=$A8),0),0),0))=0,"",SUM(INDEX(NHAP_LIEU!$H$5:$S$10004,MATCH(1,INDEX((NHAP_LIEU!$A$5:$A$10004=($J$2+13-2))*(NHAP_LIEU!$B$5:$B$10004=$A8),0),0),0))),""))</f>
        <v/>
      </c>
      <c r="N8" s="20" t="str">
        <f aca="false">IF(OR($A8="",MONTH(($J$2+14-2))&lt;&gt;MONTH($J$2)),"",IFERROR(IF(COUNT(INDEX(NHAP_LIEU!$H$5:$S$10004,MATCH(1,INDEX((NHAP_LIEU!$A$5:$A$10004=($J$2+14-2))*(NHAP_LIEU!$B$5:$B$10004=$A8),0),0),0))=0,"",SUM(INDEX(NHAP_LIEU!$H$5:$S$10004,MATCH(1,INDEX((NHAP_LIEU!$A$5:$A$10004=($J$2+14-2))*(NHAP_LIEU!$B$5:$B$10004=$A8),0),0),0))),""))</f>
        <v/>
      </c>
      <c r="O8" s="20" t="str">
        <f aca="false">IF(OR($A8="",MONTH(($J$2+15-2))&lt;&gt;MONTH($J$2)),"",IFERROR(IF(COUNT(INDEX(NHAP_LIEU!$H$5:$S$10004,MATCH(1,INDEX((NHAP_LIEU!$A$5:$A$10004=($J$2+15-2))*(NHAP_LIEU!$B$5:$B$10004=$A8),0),0),0))=0,"",SUM(INDEX(NHAP_LIEU!$H$5:$S$10004,MATCH(1,INDEX((NHAP_LIEU!$A$5:$A$10004=($J$2+15-2))*(NHAP_LIEU!$B$5:$B$10004=$A8),0),0),0))),""))</f>
        <v/>
      </c>
      <c r="P8" s="20" t="str">
        <f aca="false">IF(OR($A8="",MONTH(($J$2+16-2))&lt;&gt;MONTH($J$2)),"",IFERROR(IF(COUNT(INDEX(NHAP_LIEU!$H$5:$S$10004,MATCH(1,INDEX((NHAP_LIEU!$A$5:$A$10004=($J$2+16-2))*(NHAP_LIEU!$B$5:$B$10004=$A8),0),0),0))=0,"",SUM(INDEX(NHAP_LIEU!$H$5:$S$10004,MATCH(1,INDEX((NHAP_LIEU!$A$5:$A$10004=($J$2+16-2))*(NHAP_LIEU!$B$5:$B$10004=$A8),0),0),0))),""))</f>
        <v/>
      </c>
      <c r="Q8" s="20" t="str">
        <f aca="false">IF(OR($A8="",MONTH(($J$2+17-2))&lt;&gt;MONTH($J$2)),"",IFERROR(IF(COUNT(INDEX(NHAP_LIEU!$H$5:$S$10004,MATCH(1,INDEX((NHAP_LIEU!$A$5:$A$10004=($J$2+17-2))*(NHAP_LIEU!$B$5:$B$10004=$A8),0),0),0))=0,"",SUM(INDEX(NHAP_LIEU!$H$5:$S$10004,MATCH(1,INDEX((NHAP_LIEU!$A$5:$A$10004=($J$2+17-2))*(NHAP_LIEU!$B$5:$B$10004=$A8),0),0),0))),""))</f>
        <v/>
      </c>
      <c r="R8" s="20" t="str">
        <f aca="false">IF(OR($A8="",MONTH(($J$2+18-2))&lt;&gt;MONTH($J$2)),"",IFERROR(IF(COUNT(INDEX(NHAP_LIEU!$H$5:$S$10004,MATCH(1,INDEX((NHAP_LIEU!$A$5:$A$10004=($J$2+18-2))*(NHAP_LIEU!$B$5:$B$10004=$A8),0),0),0))=0,"",SUM(INDEX(NHAP_LIEU!$H$5:$S$10004,MATCH(1,INDEX((NHAP_LIEU!$A$5:$A$10004=($J$2+18-2))*(NHAP_LIEU!$B$5:$B$10004=$A8),0),0),0))),""))</f>
        <v/>
      </c>
      <c r="S8" s="20" t="str">
        <f aca="false">IF(OR($A8="",MONTH(($J$2+19-2))&lt;&gt;MONTH($J$2)),"",IFERROR(IF(COUNT(INDEX(NHAP_LIEU!$H$5:$S$10004,MATCH(1,INDEX((NHAP_LIEU!$A$5:$A$10004=($J$2+19-2))*(NHAP_LIEU!$B$5:$B$10004=$A8),0),0),0))=0,"",SUM(INDEX(NHAP_LIEU!$H$5:$S$10004,MATCH(1,INDEX((NHAP_LIEU!$A$5:$A$10004=($J$2+19-2))*(NHAP_LIEU!$B$5:$B$10004=$A8),0),0),0))),""))</f>
        <v/>
      </c>
      <c r="T8" s="20" t="str">
        <f aca="false">IF(OR($A8="",MONTH(($J$2+20-2))&lt;&gt;MONTH($J$2)),"",IFERROR(IF(COUNT(INDEX(NHAP_LIEU!$H$5:$S$10004,MATCH(1,INDEX((NHAP_LIEU!$A$5:$A$10004=($J$2+20-2))*(NHAP_LIEU!$B$5:$B$10004=$A8),0),0),0))=0,"",SUM(INDEX(NHAP_LIEU!$H$5:$S$10004,MATCH(1,INDEX((NHAP_LIEU!$A$5:$A$10004=($J$2+20-2))*(NHAP_LIEU!$B$5:$B$10004=$A8),0),0),0))),""))</f>
        <v/>
      </c>
      <c r="U8" s="20" t="str">
        <f aca="false">IF(OR($A8="",MONTH(($J$2+21-2))&lt;&gt;MONTH($J$2)),"",IFERROR(IF(COUNT(INDEX(NHAP_LIEU!$H$5:$S$10004,MATCH(1,INDEX((NHAP_LIEU!$A$5:$A$10004=($J$2+21-2))*(NHAP_LIEU!$B$5:$B$10004=$A8),0),0),0))=0,"",SUM(INDEX(NHAP_LIEU!$H$5:$S$10004,MATCH(1,INDEX((NHAP_LIEU!$A$5:$A$10004=($J$2+21-2))*(NHAP_LIEU!$B$5:$B$10004=$A8),0),0),0))),""))</f>
        <v/>
      </c>
      <c r="V8" s="20" t="str">
        <f aca="false">IF(OR($A8="",MONTH(($J$2+22-2))&lt;&gt;MONTH($J$2)),"",IFERROR(IF(COUNT(INDEX(NHAP_LIEU!$H$5:$S$10004,MATCH(1,INDEX((NHAP_LIEU!$A$5:$A$10004=($J$2+22-2))*(NHAP_LIEU!$B$5:$B$10004=$A8),0),0),0))=0,"",SUM(INDEX(NHAP_LIEU!$H$5:$S$10004,MATCH(1,INDEX((NHAP_LIEU!$A$5:$A$10004=($J$2+22-2))*(NHAP_LIEU!$B$5:$B$10004=$A8),0),0),0))),""))</f>
        <v/>
      </c>
      <c r="W8" s="20" t="str">
        <f aca="false">IF(OR($A8="",MONTH(($J$2+23-2))&lt;&gt;MONTH($J$2)),"",IFERROR(IF(COUNT(INDEX(NHAP_LIEU!$H$5:$S$10004,MATCH(1,INDEX((NHAP_LIEU!$A$5:$A$10004=($J$2+23-2))*(NHAP_LIEU!$B$5:$B$10004=$A8),0),0),0))=0,"",SUM(INDEX(NHAP_LIEU!$H$5:$S$10004,MATCH(1,INDEX((NHAP_LIEU!$A$5:$A$10004=($J$2+23-2))*(NHAP_LIEU!$B$5:$B$10004=$A8),0),0),0))),""))</f>
        <v/>
      </c>
      <c r="X8" s="20" t="str">
        <f aca="false">IF(OR($A8="",MONTH(($J$2+24-2))&lt;&gt;MONTH($J$2)),"",IFERROR(IF(COUNT(INDEX(NHAP_LIEU!$H$5:$S$10004,MATCH(1,INDEX((NHAP_LIEU!$A$5:$A$10004=($J$2+24-2))*(NHAP_LIEU!$B$5:$B$10004=$A8),0),0),0))=0,"",SUM(INDEX(NHAP_LIEU!$H$5:$S$10004,MATCH(1,INDEX((NHAP_LIEU!$A$5:$A$10004=($J$2+24-2))*(NHAP_LIEU!$B$5:$B$10004=$A8),0),0),0))),""))</f>
        <v/>
      </c>
      <c r="Y8" s="20" t="str">
        <f aca="false">IF(OR($A8="",MONTH(($J$2+25-2))&lt;&gt;MONTH($J$2)),"",IFERROR(IF(COUNT(INDEX(NHAP_LIEU!$H$5:$S$10004,MATCH(1,INDEX((NHAP_LIEU!$A$5:$A$10004=($J$2+25-2))*(NHAP_LIEU!$B$5:$B$10004=$A8),0),0),0))=0,"",SUM(INDEX(NHAP_LIEU!$H$5:$S$10004,MATCH(1,INDEX((NHAP_LIEU!$A$5:$A$10004=($J$2+25-2))*(NHAP_LIEU!$B$5:$B$10004=$A8),0),0),0))),""))</f>
        <v/>
      </c>
      <c r="Z8" s="20" t="str">
        <f aca="false">IF(OR($A8="",MONTH(($J$2+26-2))&lt;&gt;MONTH($J$2)),"",IFERROR(IF(COUNT(INDEX(NHAP_LIEU!$H$5:$S$10004,MATCH(1,INDEX((NHAP_LIEU!$A$5:$A$10004=($J$2+26-2))*(NHAP_LIEU!$B$5:$B$10004=$A8),0),0),0))=0,"",SUM(INDEX(NHAP_LIEU!$H$5:$S$10004,MATCH(1,INDEX((NHAP_LIEU!$A$5:$A$10004=($J$2+26-2))*(NHAP_LIEU!$B$5:$B$10004=$A8),0),0),0))),""))</f>
        <v/>
      </c>
      <c r="AA8" s="20" t="str">
        <f aca="false">IF(OR($A8="",MONTH(($J$2+27-2))&lt;&gt;MONTH($J$2)),"",IFERROR(IF(COUNT(INDEX(NHAP_LIEU!$H$5:$S$10004,MATCH(1,INDEX((NHAP_LIEU!$A$5:$A$10004=($J$2+27-2))*(NHAP_LIEU!$B$5:$B$10004=$A8),0),0),0))=0,"",SUM(INDEX(NHAP_LIEU!$H$5:$S$10004,MATCH(1,INDEX((NHAP_LIEU!$A$5:$A$10004=($J$2+27-2))*(NHAP_LIEU!$B$5:$B$10004=$A8),0),0),0))),""))</f>
        <v/>
      </c>
      <c r="AB8" s="20" t="str">
        <f aca="false">IF(OR($A8="",MONTH(($J$2+28-2))&lt;&gt;MONTH($J$2)),"",IFERROR(IF(COUNT(INDEX(NHAP_LIEU!$H$5:$S$10004,MATCH(1,INDEX((NHAP_LIEU!$A$5:$A$10004=($J$2+28-2))*(NHAP_LIEU!$B$5:$B$10004=$A8),0),0),0))=0,"",SUM(INDEX(NHAP_LIEU!$H$5:$S$10004,MATCH(1,INDEX((NHAP_LIEU!$A$5:$A$10004=($J$2+28-2))*(NHAP_LIEU!$B$5:$B$10004=$A8),0),0),0))),""))</f>
        <v/>
      </c>
      <c r="AC8" s="20" t="str">
        <f aca="false">IF(OR($A8="",MONTH(($J$2+29-2))&lt;&gt;MONTH($J$2)),"",IFERROR(IF(COUNT(INDEX(NHAP_LIEU!$H$5:$S$10004,MATCH(1,INDEX((NHAP_LIEU!$A$5:$A$10004=($J$2+29-2))*(NHAP_LIEU!$B$5:$B$10004=$A8),0),0),0))=0,"",SUM(INDEX(NHAP_LIEU!$H$5:$S$10004,MATCH(1,INDEX((NHAP_LIEU!$A$5:$A$10004=($J$2+29-2))*(NHAP_LIEU!$B$5:$B$10004=$A8),0),0),0))),""))</f>
        <v/>
      </c>
      <c r="AD8" s="20" t="str">
        <f aca="false">IF(OR($A8="",MONTH(($J$2+30-2))&lt;&gt;MONTH($J$2)),"",IFERROR(IF(COUNT(INDEX(NHAP_LIEU!$H$5:$S$10004,MATCH(1,INDEX((NHAP_LIEU!$A$5:$A$10004=($J$2+30-2))*(NHAP_LIEU!$B$5:$B$10004=$A8),0),0),0))=0,"",SUM(INDEX(NHAP_LIEU!$H$5:$S$10004,MATCH(1,INDEX((NHAP_LIEU!$A$5:$A$10004=($J$2+30-2))*(NHAP_LIEU!$B$5:$B$10004=$A8),0),0),0))),""))</f>
        <v/>
      </c>
      <c r="AE8" s="20" t="str">
        <f aca="false">IF(OR($A8="",MONTH(($J$2+31-2))&lt;&gt;MONTH($J$2)),"",IFERROR(IF(COUNT(INDEX(NHAP_LIEU!$H$5:$S$10004,MATCH(1,INDEX((NHAP_LIEU!$A$5:$A$10004=($J$2+31-2))*(NHAP_LIEU!$B$5:$B$10004=$A8),0),0),0))=0,"",SUM(INDEX(NHAP_LIEU!$H$5:$S$10004,MATCH(1,INDEX((NHAP_LIEU!$A$5:$A$10004=($J$2+31-2))*(NHAP_LIEU!$B$5:$B$10004=$A8),0),0),0))),""))</f>
        <v/>
      </c>
      <c r="AF8" s="20" t="str">
        <f aca="false">IF(OR($A8="",MONTH(($J$2+32-2))&lt;&gt;MONTH($J$2)),"",IFERROR(IF(COUNT(INDEX(NHAP_LIEU!$H$5:$S$10004,MATCH(1,INDEX((NHAP_LIEU!$A$5:$A$10004=($J$2+32-2))*(NHAP_LIEU!$B$5:$B$10004=$A8),0),0),0))=0,"",SUM(INDEX(NHAP_LIEU!$H$5:$S$10004,MATCH(1,INDEX((NHAP_LIEU!$A$5:$A$10004=($J$2+32-2))*(NHAP_LIEU!$B$5:$B$10004=$A8),0),0),0))),""))</f>
        <v/>
      </c>
      <c r="AG8" s="52" t="n">
        <f aca="false">IF($A8="","",SUM(B8:AF8))</f>
        <v>2035</v>
      </c>
      <c r="AH8" s="20" t="n">
        <f aca="false">IF($A8="","",SUMPRODUCT((NHAP_LIEU!$B$5:$B$10004=$A8)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2128</v>
      </c>
      <c r="AI8" s="53" t="n">
        <f aca="false">IF(OR($A8="",N(AH8)=0),"",AG8/AH8)</f>
        <v>0.956296992481203</v>
      </c>
    </row>
    <row r="9" customFormat="false" ht="15" hidden="false" customHeight="false" outlineLevel="0" collapsed="false">
      <c r="A9" s="51" t="str">
        <f aca="false">IF(DANH_SACH_CHUYEN!B8="","",DANH_SACH_CHUYEN!B8)</f>
        <v>Chuyền 4</v>
      </c>
      <c r="B9" s="20" t="str">
        <f aca="false">IF(OR($A9="",MONTH(($J$2+2-2))&lt;&gt;MONTH($J$2)),"",IFERROR(IF(COUNT(INDEX(NHAP_LIEU!$H$5:$S$10004,MATCH(1,INDEX((NHAP_LIEU!$A$5:$A$10004=($J$2+2-2))*(NHAP_LIEU!$B$5:$B$10004=$A9),0),0),0))=0,"",SUM(INDEX(NHAP_LIEU!$H$5:$S$10004,MATCH(1,INDEX((NHAP_LIEU!$A$5:$A$10004=($J$2+2-2))*(NHAP_LIEU!$B$5:$B$10004=$A9),0),0),0))),""))</f>
        <v/>
      </c>
      <c r="C9" s="20" t="str">
        <f aca="false">IF(OR($A9="",MONTH(($J$2+3-2))&lt;&gt;MONTH($J$2)),"",IFERROR(IF(COUNT(INDEX(NHAP_LIEU!$H$5:$S$10004,MATCH(1,INDEX((NHAP_LIEU!$A$5:$A$10004=($J$2+3-2))*(NHAP_LIEU!$B$5:$B$10004=$A9),0),0),0))=0,"",SUM(INDEX(NHAP_LIEU!$H$5:$S$10004,MATCH(1,INDEX((NHAP_LIEU!$A$5:$A$10004=($J$2+3-2))*(NHAP_LIEU!$B$5:$B$10004=$A9),0),0),0))),""))</f>
        <v/>
      </c>
      <c r="D9" s="20" t="str">
        <f aca="false">IF(OR($A9="",MONTH(($J$2+4-2))&lt;&gt;MONTH($J$2)),"",IFERROR(IF(COUNT(INDEX(NHAP_LIEU!$H$5:$S$10004,MATCH(1,INDEX((NHAP_LIEU!$A$5:$A$10004=($J$2+4-2))*(NHAP_LIEU!$B$5:$B$10004=$A9),0),0),0))=0,"",SUM(INDEX(NHAP_LIEU!$H$5:$S$10004,MATCH(1,INDEX((NHAP_LIEU!$A$5:$A$10004=($J$2+4-2))*(NHAP_LIEU!$B$5:$B$10004=$A9),0),0),0))),""))</f>
        <v/>
      </c>
      <c r="E9" s="20" t="str">
        <f aca="false">IF(OR($A9="",MONTH(($J$2+5-2))&lt;&gt;MONTH($J$2)),"",IFERROR(IF(COUNT(INDEX(NHAP_LIEU!$H$5:$S$10004,MATCH(1,INDEX((NHAP_LIEU!$A$5:$A$10004=($J$2+5-2))*(NHAP_LIEU!$B$5:$B$10004=$A9),0),0),0))=0,"",SUM(INDEX(NHAP_LIEU!$H$5:$S$10004,MATCH(1,INDEX((NHAP_LIEU!$A$5:$A$10004=($J$2+5-2))*(NHAP_LIEU!$B$5:$B$10004=$A9),0),0),0))),""))</f>
        <v/>
      </c>
      <c r="F9" s="20" t="str">
        <f aca="false">IF(OR($A9="",MONTH(($J$2+6-2))&lt;&gt;MONTH($J$2)),"",IFERROR(IF(COUNT(INDEX(NHAP_LIEU!$H$5:$S$10004,MATCH(1,INDEX((NHAP_LIEU!$A$5:$A$10004=($J$2+6-2))*(NHAP_LIEU!$B$5:$B$10004=$A9),0),0),0))=0,"",SUM(INDEX(NHAP_LIEU!$H$5:$S$10004,MATCH(1,INDEX((NHAP_LIEU!$A$5:$A$10004=($J$2+6-2))*(NHAP_LIEU!$B$5:$B$10004=$A9),0),0),0))),""))</f>
        <v/>
      </c>
      <c r="G9" s="20" t="str">
        <f aca="false">IF(OR($A9="",MONTH(($J$2+7-2))&lt;&gt;MONTH($J$2)),"",IFERROR(IF(COUNT(INDEX(NHAP_LIEU!$H$5:$S$10004,MATCH(1,INDEX((NHAP_LIEU!$A$5:$A$10004=($J$2+7-2))*(NHAP_LIEU!$B$5:$B$10004=$A9),0),0),0))=0,"",SUM(INDEX(NHAP_LIEU!$H$5:$S$10004,MATCH(1,INDEX((NHAP_LIEU!$A$5:$A$10004=($J$2+7-2))*(NHAP_LIEU!$B$5:$B$10004=$A9),0),0),0))),""))</f>
        <v/>
      </c>
      <c r="H9" s="20" t="str">
        <f aca="false">IF(OR($A9="",MONTH(($J$2+8-2))&lt;&gt;MONTH($J$2)),"",IFERROR(IF(COUNT(INDEX(NHAP_LIEU!$H$5:$S$10004,MATCH(1,INDEX((NHAP_LIEU!$A$5:$A$10004=($J$2+8-2))*(NHAP_LIEU!$B$5:$B$10004=$A9),0),0),0))=0,"",SUM(INDEX(NHAP_LIEU!$H$5:$S$10004,MATCH(1,INDEX((NHAP_LIEU!$A$5:$A$10004=($J$2+8-2))*(NHAP_LIEU!$B$5:$B$10004=$A9),0),0),0))),""))</f>
        <v/>
      </c>
      <c r="I9" s="20" t="str">
        <f aca="false">IF(OR($A9="",MONTH(($J$2+9-2))&lt;&gt;MONTH($J$2)),"",IFERROR(IF(COUNT(INDEX(NHAP_LIEU!$H$5:$S$10004,MATCH(1,INDEX((NHAP_LIEU!$A$5:$A$10004=($J$2+9-2))*(NHAP_LIEU!$B$5:$B$10004=$A9),0),0),0))=0,"",SUM(INDEX(NHAP_LIEU!$H$5:$S$10004,MATCH(1,INDEX((NHAP_LIEU!$A$5:$A$10004=($J$2+9-2))*(NHAP_LIEU!$B$5:$B$10004=$A9),0),0),0))),""))</f>
        <v/>
      </c>
      <c r="J9" s="20" t="str">
        <f aca="false">IF(OR($A9="",MONTH(($J$2+10-2))&lt;&gt;MONTH($J$2)),"",IFERROR(IF(COUNT(INDEX(NHAP_LIEU!$H$5:$S$10004,MATCH(1,INDEX((NHAP_LIEU!$A$5:$A$10004=($J$2+10-2))*(NHAP_LIEU!$B$5:$B$10004=$A9),0),0),0))=0,"",SUM(INDEX(NHAP_LIEU!$H$5:$S$10004,MATCH(1,INDEX((NHAP_LIEU!$A$5:$A$10004=($J$2+10-2))*(NHAP_LIEU!$B$5:$B$10004=$A9),0),0),0))),""))</f>
        <v/>
      </c>
      <c r="K9" s="20" t="str">
        <f aca="false">IF(OR($A9="",MONTH(($J$2+11-2))&lt;&gt;MONTH($J$2)),"",IFERROR(IF(COUNT(INDEX(NHAP_LIEU!$H$5:$S$10004,MATCH(1,INDEX((NHAP_LIEU!$A$5:$A$10004=($J$2+11-2))*(NHAP_LIEU!$B$5:$B$10004=$A9),0),0),0))=0,"",SUM(INDEX(NHAP_LIEU!$H$5:$S$10004,MATCH(1,INDEX((NHAP_LIEU!$A$5:$A$10004=($J$2+11-2))*(NHAP_LIEU!$B$5:$B$10004=$A9),0),0),0))),""))</f>
        <v/>
      </c>
      <c r="L9" s="20" t="str">
        <f aca="false">IF(OR($A9="",MONTH(($J$2+12-2))&lt;&gt;MONTH($J$2)),"",IFERROR(IF(COUNT(INDEX(NHAP_LIEU!$H$5:$S$10004,MATCH(1,INDEX((NHAP_LIEU!$A$5:$A$10004=($J$2+12-2))*(NHAP_LIEU!$B$5:$B$10004=$A9),0),0),0))=0,"",SUM(INDEX(NHAP_LIEU!$H$5:$S$10004,MATCH(1,INDEX((NHAP_LIEU!$A$5:$A$10004=($J$2+12-2))*(NHAP_LIEU!$B$5:$B$10004=$A9),0),0),0))),""))</f>
        <v/>
      </c>
      <c r="M9" s="20" t="str">
        <f aca="false">IF(OR($A9="",MONTH(($J$2+13-2))&lt;&gt;MONTH($J$2)),"",IFERROR(IF(COUNT(INDEX(NHAP_LIEU!$H$5:$S$10004,MATCH(1,INDEX((NHAP_LIEU!$A$5:$A$10004=($J$2+13-2))*(NHAP_LIEU!$B$5:$B$10004=$A9),0),0),0))=0,"",SUM(INDEX(NHAP_LIEU!$H$5:$S$10004,MATCH(1,INDEX((NHAP_LIEU!$A$5:$A$10004=($J$2+13-2))*(NHAP_LIEU!$B$5:$B$10004=$A9),0),0),0))),""))</f>
        <v/>
      </c>
      <c r="N9" s="20" t="str">
        <f aca="false">IF(OR($A9="",MONTH(($J$2+14-2))&lt;&gt;MONTH($J$2)),"",IFERROR(IF(COUNT(INDEX(NHAP_LIEU!$H$5:$S$10004,MATCH(1,INDEX((NHAP_LIEU!$A$5:$A$10004=($J$2+14-2))*(NHAP_LIEU!$B$5:$B$10004=$A9),0),0),0))=0,"",SUM(INDEX(NHAP_LIEU!$H$5:$S$10004,MATCH(1,INDEX((NHAP_LIEU!$A$5:$A$10004=($J$2+14-2))*(NHAP_LIEU!$B$5:$B$10004=$A9),0),0),0))),""))</f>
        <v/>
      </c>
      <c r="O9" s="20" t="str">
        <f aca="false">IF(OR($A9="",MONTH(($J$2+15-2))&lt;&gt;MONTH($J$2)),"",IFERROR(IF(COUNT(INDEX(NHAP_LIEU!$H$5:$S$10004,MATCH(1,INDEX((NHAP_LIEU!$A$5:$A$10004=($J$2+15-2))*(NHAP_LIEU!$B$5:$B$10004=$A9),0),0),0))=0,"",SUM(INDEX(NHAP_LIEU!$H$5:$S$10004,MATCH(1,INDEX((NHAP_LIEU!$A$5:$A$10004=($J$2+15-2))*(NHAP_LIEU!$B$5:$B$10004=$A9),0),0),0))),""))</f>
        <v/>
      </c>
      <c r="P9" s="20" t="str">
        <f aca="false">IF(OR($A9="",MONTH(($J$2+16-2))&lt;&gt;MONTH($J$2)),"",IFERROR(IF(COUNT(INDEX(NHAP_LIEU!$H$5:$S$10004,MATCH(1,INDEX((NHAP_LIEU!$A$5:$A$10004=($J$2+16-2))*(NHAP_LIEU!$B$5:$B$10004=$A9),0),0),0))=0,"",SUM(INDEX(NHAP_LIEU!$H$5:$S$10004,MATCH(1,INDEX((NHAP_LIEU!$A$5:$A$10004=($J$2+16-2))*(NHAP_LIEU!$B$5:$B$10004=$A9),0),0),0))),""))</f>
        <v/>
      </c>
      <c r="Q9" s="20" t="str">
        <f aca="false">IF(OR($A9="",MONTH(($J$2+17-2))&lt;&gt;MONTH($J$2)),"",IFERROR(IF(COUNT(INDEX(NHAP_LIEU!$H$5:$S$10004,MATCH(1,INDEX((NHAP_LIEU!$A$5:$A$10004=($J$2+17-2))*(NHAP_LIEU!$B$5:$B$10004=$A9),0),0),0))=0,"",SUM(INDEX(NHAP_LIEU!$H$5:$S$10004,MATCH(1,INDEX((NHAP_LIEU!$A$5:$A$10004=($J$2+17-2))*(NHAP_LIEU!$B$5:$B$10004=$A9),0),0),0))),""))</f>
        <v/>
      </c>
      <c r="R9" s="20" t="str">
        <f aca="false">IF(OR($A9="",MONTH(($J$2+18-2))&lt;&gt;MONTH($J$2)),"",IFERROR(IF(COUNT(INDEX(NHAP_LIEU!$H$5:$S$10004,MATCH(1,INDEX((NHAP_LIEU!$A$5:$A$10004=($J$2+18-2))*(NHAP_LIEU!$B$5:$B$10004=$A9),0),0),0))=0,"",SUM(INDEX(NHAP_LIEU!$H$5:$S$10004,MATCH(1,INDEX((NHAP_LIEU!$A$5:$A$10004=($J$2+18-2))*(NHAP_LIEU!$B$5:$B$10004=$A9),0),0),0))),""))</f>
        <v/>
      </c>
      <c r="S9" s="20" t="str">
        <f aca="false">IF(OR($A9="",MONTH(($J$2+19-2))&lt;&gt;MONTH($J$2)),"",IFERROR(IF(COUNT(INDEX(NHAP_LIEU!$H$5:$S$10004,MATCH(1,INDEX((NHAP_LIEU!$A$5:$A$10004=($J$2+19-2))*(NHAP_LIEU!$B$5:$B$10004=$A9),0),0),0))=0,"",SUM(INDEX(NHAP_LIEU!$H$5:$S$10004,MATCH(1,INDEX((NHAP_LIEU!$A$5:$A$10004=($J$2+19-2))*(NHAP_LIEU!$B$5:$B$10004=$A9),0),0),0))),""))</f>
        <v/>
      </c>
      <c r="T9" s="20" t="str">
        <f aca="false">IF(OR($A9="",MONTH(($J$2+20-2))&lt;&gt;MONTH($J$2)),"",IFERROR(IF(COUNT(INDEX(NHAP_LIEU!$H$5:$S$10004,MATCH(1,INDEX((NHAP_LIEU!$A$5:$A$10004=($J$2+20-2))*(NHAP_LIEU!$B$5:$B$10004=$A9),0),0),0))=0,"",SUM(INDEX(NHAP_LIEU!$H$5:$S$10004,MATCH(1,INDEX((NHAP_LIEU!$A$5:$A$10004=($J$2+20-2))*(NHAP_LIEU!$B$5:$B$10004=$A9),0),0),0))),""))</f>
        <v/>
      </c>
      <c r="U9" s="20" t="str">
        <f aca="false">IF(OR($A9="",MONTH(($J$2+21-2))&lt;&gt;MONTH($J$2)),"",IFERROR(IF(COUNT(INDEX(NHAP_LIEU!$H$5:$S$10004,MATCH(1,INDEX((NHAP_LIEU!$A$5:$A$10004=($J$2+21-2))*(NHAP_LIEU!$B$5:$B$10004=$A9),0),0),0))=0,"",SUM(INDEX(NHAP_LIEU!$H$5:$S$10004,MATCH(1,INDEX((NHAP_LIEU!$A$5:$A$10004=($J$2+21-2))*(NHAP_LIEU!$B$5:$B$10004=$A9),0),0),0))),""))</f>
        <v/>
      </c>
      <c r="V9" s="20" t="str">
        <f aca="false">IF(OR($A9="",MONTH(($J$2+22-2))&lt;&gt;MONTH($J$2)),"",IFERROR(IF(COUNT(INDEX(NHAP_LIEU!$H$5:$S$10004,MATCH(1,INDEX((NHAP_LIEU!$A$5:$A$10004=($J$2+22-2))*(NHAP_LIEU!$B$5:$B$10004=$A9),0),0),0))=0,"",SUM(INDEX(NHAP_LIEU!$H$5:$S$10004,MATCH(1,INDEX((NHAP_LIEU!$A$5:$A$10004=($J$2+22-2))*(NHAP_LIEU!$B$5:$B$10004=$A9),0),0),0))),""))</f>
        <v/>
      </c>
      <c r="W9" s="20" t="str">
        <f aca="false">IF(OR($A9="",MONTH(($J$2+23-2))&lt;&gt;MONTH($J$2)),"",IFERROR(IF(COUNT(INDEX(NHAP_LIEU!$H$5:$S$10004,MATCH(1,INDEX((NHAP_LIEU!$A$5:$A$10004=($J$2+23-2))*(NHAP_LIEU!$B$5:$B$10004=$A9),0),0),0))=0,"",SUM(INDEX(NHAP_LIEU!$H$5:$S$10004,MATCH(1,INDEX((NHAP_LIEU!$A$5:$A$10004=($J$2+23-2))*(NHAP_LIEU!$B$5:$B$10004=$A9),0),0),0))),""))</f>
        <v/>
      </c>
      <c r="X9" s="20" t="str">
        <f aca="false">IF(OR($A9="",MONTH(($J$2+24-2))&lt;&gt;MONTH($J$2)),"",IFERROR(IF(COUNT(INDEX(NHAP_LIEU!$H$5:$S$10004,MATCH(1,INDEX((NHAP_LIEU!$A$5:$A$10004=($J$2+24-2))*(NHAP_LIEU!$B$5:$B$10004=$A9),0),0),0))=0,"",SUM(INDEX(NHAP_LIEU!$H$5:$S$10004,MATCH(1,INDEX((NHAP_LIEU!$A$5:$A$10004=($J$2+24-2))*(NHAP_LIEU!$B$5:$B$10004=$A9),0),0),0))),""))</f>
        <v/>
      </c>
      <c r="Y9" s="20" t="str">
        <f aca="false">IF(OR($A9="",MONTH(($J$2+25-2))&lt;&gt;MONTH($J$2)),"",IFERROR(IF(COUNT(INDEX(NHAP_LIEU!$H$5:$S$10004,MATCH(1,INDEX((NHAP_LIEU!$A$5:$A$10004=($J$2+25-2))*(NHAP_LIEU!$B$5:$B$10004=$A9),0),0),0))=0,"",SUM(INDEX(NHAP_LIEU!$H$5:$S$10004,MATCH(1,INDEX((NHAP_LIEU!$A$5:$A$10004=($J$2+25-2))*(NHAP_LIEU!$B$5:$B$10004=$A9),0),0),0))),""))</f>
        <v/>
      </c>
      <c r="Z9" s="20" t="str">
        <f aca="false">IF(OR($A9="",MONTH(($J$2+26-2))&lt;&gt;MONTH($J$2)),"",IFERROR(IF(COUNT(INDEX(NHAP_LIEU!$H$5:$S$10004,MATCH(1,INDEX((NHAP_LIEU!$A$5:$A$10004=($J$2+26-2))*(NHAP_LIEU!$B$5:$B$10004=$A9),0),0),0))=0,"",SUM(INDEX(NHAP_LIEU!$H$5:$S$10004,MATCH(1,INDEX((NHAP_LIEU!$A$5:$A$10004=($J$2+26-2))*(NHAP_LIEU!$B$5:$B$10004=$A9),0),0),0))),""))</f>
        <v/>
      </c>
      <c r="AA9" s="20" t="str">
        <f aca="false">IF(OR($A9="",MONTH(($J$2+27-2))&lt;&gt;MONTH($J$2)),"",IFERROR(IF(COUNT(INDEX(NHAP_LIEU!$H$5:$S$10004,MATCH(1,INDEX((NHAP_LIEU!$A$5:$A$10004=($J$2+27-2))*(NHAP_LIEU!$B$5:$B$10004=$A9),0),0),0))=0,"",SUM(INDEX(NHAP_LIEU!$H$5:$S$10004,MATCH(1,INDEX((NHAP_LIEU!$A$5:$A$10004=($J$2+27-2))*(NHAP_LIEU!$B$5:$B$10004=$A9),0),0),0))),""))</f>
        <v/>
      </c>
      <c r="AB9" s="20" t="str">
        <f aca="false">IF(OR($A9="",MONTH(($J$2+28-2))&lt;&gt;MONTH($J$2)),"",IFERROR(IF(COUNT(INDEX(NHAP_LIEU!$H$5:$S$10004,MATCH(1,INDEX((NHAP_LIEU!$A$5:$A$10004=($J$2+28-2))*(NHAP_LIEU!$B$5:$B$10004=$A9),0),0),0))=0,"",SUM(INDEX(NHAP_LIEU!$H$5:$S$10004,MATCH(1,INDEX((NHAP_LIEU!$A$5:$A$10004=($J$2+28-2))*(NHAP_LIEU!$B$5:$B$10004=$A9),0),0),0))),""))</f>
        <v/>
      </c>
      <c r="AC9" s="20" t="str">
        <f aca="false">IF(OR($A9="",MONTH(($J$2+29-2))&lt;&gt;MONTH($J$2)),"",IFERROR(IF(COUNT(INDEX(NHAP_LIEU!$H$5:$S$10004,MATCH(1,INDEX((NHAP_LIEU!$A$5:$A$10004=($J$2+29-2))*(NHAP_LIEU!$B$5:$B$10004=$A9),0),0),0))=0,"",SUM(INDEX(NHAP_LIEU!$H$5:$S$10004,MATCH(1,INDEX((NHAP_LIEU!$A$5:$A$10004=($J$2+29-2))*(NHAP_LIEU!$B$5:$B$10004=$A9),0),0),0))),""))</f>
        <v/>
      </c>
      <c r="AD9" s="20" t="str">
        <f aca="false">IF(OR($A9="",MONTH(($J$2+30-2))&lt;&gt;MONTH($J$2)),"",IFERROR(IF(COUNT(INDEX(NHAP_LIEU!$H$5:$S$10004,MATCH(1,INDEX((NHAP_LIEU!$A$5:$A$10004=($J$2+30-2))*(NHAP_LIEU!$B$5:$B$10004=$A9),0),0),0))=0,"",SUM(INDEX(NHAP_LIEU!$H$5:$S$10004,MATCH(1,INDEX((NHAP_LIEU!$A$5:$A$10004=($J$2+30-2))*(NHAP_LIEU!$B$5:$B$10004=$A9),0),0),0))),""))</f>
        <v/>
      </c>
      <c r="AE9" s="20" t="str">
        <f aca="false">IF(OR($A9="",MONTH(($J$2+31-2))&lt;&gt;MONTH($J$2)),"",IFERROR(IF(COUNT(INDEX(NHAP_LIEU!$H$5:$S$10004,MATCH(1,INDEX((NHAP_LIEU!$A$5:$A$10004=($J$2+31-2))*(NHAP_LIEU!$B$5:$B$10004=$A9),0),0),0))=0,"",SUM(INDEX(NHAP_LIEU!$H$5:$S$10004,MATCH(1,INDEX((NHAP_LIEU!$A$5:$A$10004=($J$2+31-2))*(NHAP_LIEU!$B$5:$B$10004=$A9),0),0),0))),""))</f>
        <v/>
      </c>
      <c r="AF9" s="20" t="str">
        <f aca="false">IF(OR($A9="",MONTH(($J$2+32-2))&lt;&gt;MONTH($J$2)),"",IFERROR(IF(COUNT(INDEX(NHAP_LIEU!$H$5:$S$10004,MATCH(1,INDEX((NHAP_LIEU!$A$5:$A$10004=($J$2+32-2))*(NHAP_LIEU!$B$5:$B$10004=$A9),0),0),0))=0,"",SUM(INDEX(NHAP_LIEU!$H$5:$S$10004,MATCH(1,INDEX((NHAP_LIEU!$A$5:$A$10004=($J$2+32-2))*(NHAP_LIEU!$B$5:$B$10004=$A9),0),0),0))),""))</f>
        <v/>
      </c>
      <c r="AG9" s="52" t="n">
        <f aca="false">IF($A9="","",SUM(B9:AF9))</f>
        <v>0</v>
      </c>
      <c r="AH9" s="20" t="n">
        <f aca="false">IF($A9="","",SUMPRODUCT((NHAP_LIEU!$B$5:$B$10004=$A9)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0</v>
      </c>
      <c r="AI9" s="53" t="str">
        <f aca="false">IF(OR($A9="",N(AH9)=0),"",AG9/AH9)</f>
        <v/>
      </c>
    </row>
    <row r="10" customFormat="false" ht="15" hidden="false" customHeight="false" outlineLevel="0" collapsed="false">
      <c r="A10" s="51" t="str">
        <f aca="false">IF(DANH_SACH_CHUYEN!B9="","",DANH_SACH_CHUYEN!B9)</f>
        <v>Chuyền 5</v>
      </c>
      <c r="B10" s="20" t="str">
        <f aca="false">IF(OR($A10="",MONTH(($J$2+2-2))&lt;&gt;MONTH($J$2)),"",IFERROR(IF(COUNT(INDEX(NHAP_LIEU!$H$5:$S$10004,MATCH(1,INDEX((NHAP_LIEU!$A$5:$A$10004=($J$2+2-2))*(NHAP_LIEU!$B$5:$B$10004=$A10),0),0),0))=0,"",SUM(INDEX(NHAP_LIEU!$H$5:$S$10004,MATCH(1,INDEX((NHAP_LIEU!$A$5:$A$10004=($J$2+2-2))*(NHAP_LIEU!$B$5:$B$10004=$A10),0),0),0))),""))</f>
        <v/>
      </c>
      <c r="C10" s="20" t="str">
        <f aca="false">IF(OR($A10="",MONTH(($J$2+3-2))&lt;&gt;MONTH($J$2)),"",IFERROR(IF(COUNT(INDEX(NHAP_LIEU!$H$5:$S$10004,MATCH(1,INDEX((NHAP_LIEU!$A$5:$A$10004=($J$2+3-2))*(NHAP_LIEU!$B$5:$B$10004=$A10),0),0),0))=0,"",SUM(INDEX(NHAP_LIEU!$H$5:$S$10004,MATCH(1,INDEX((NHAP_LIEU!$A$5:$A$10004=($J$2+3-2))*(NHAP_LIEU!$B$5:$B$10004=$A10),0),0),0))),""))</f>
        <v/>
      </c>
      <c r="D10" s="20" t="str">
        <f aca="false">IF(OR($A10="",MONTH(($J$2+4-2))&lt;&gt;MONTH($J$2)),"",IFERROR(IF(COUNT(INDEX(NHAP_LIEU!$H$5:$S$10004,MATCH(1,INDEX((NHAP_LIEU!$A$5:$A$10004=($J$2+4-2))*(NHAP_LIEU!$B$5:$B$10004=$A10),0),0),0))=0,"",SUM(INDEX(NHAP_LIEU!$H$5:$S$10004,MATCH(1,INDEX((NHAP_LIEU!$A$5:$A$10004=($J$2+4-2))*(NHAP_LIEU!$B$5:$B$10004=$A10),0),0),0))),""))</f>
        <v/>
      </c>
      <c r="E10" s="20" t="str">
        <f aca="false">IF(OR($A10="",MONTH(($J$2+5-2))&lt;&gt;MONTH($J$2)),"",IFERROR(IF(COUNT(INDEX(NHAP_LIEU!$H$5:$S$10004,MATCH(1,INDEX((NHAP_LIEU!$A$5:$A$10004=($J$2+5-2))*(NHAP_LIEU!$B$5:$B$10004=$A10),0),0),0))=0,"",SUM(INDEX(NHAP_LIEU!$H$5:$S$10004,MATCH(1,INDEX((NHAP_LIEU!$A$5:$A$10004=($J$2+5-2))*(NHAP_LIEU!$B$5:$B$10004=$A10),0),0),0))),""))</f>
        <v/>
      </c>
      <c r="F10" s="20" t="str">
        <f aca="false">IF(OR($A10="",MONTH(($J$2+6-2))&lt;&gt;MONTH($J$2)),"",IFERROR(IF(COUNT(INDEX(NHAP_LIEU!$H$5:$S$10004,MATCH(1,INDEX((NHAP_LIEU!$A$5:$A$10004=($J$2+6-2))*(NHAP_LIEU!$B$5:$B$10004=$A10),0),0),0))=0,"",SUM(INDEX(NHAP_LIEU!$H$5:$S$10004,MATCH(1,INDEX((NHAP_LIEU!$A$5:$A$10004=($J$2+6-2))*(NHAP_LIEU!$B$5:$B$10004=$A10),0),0),0))),""))</f>
        <v/>
      </c>
      <c r="G10" s="20" t="str">
        <f aca="false">IF(OR($A10="",MONTH(($J$2+7-2))&lt;&gt;MONTH($J$2)),"",IFERROR(IF(COUNT(INDEX(NHAP_LIEU!$H$5:$S$10004,MATCH(1,INDEX((NHAP_LIEU!$A$5:$A$10004=($J$2+7-2))*(NHAP_LIEU!$B$5:$B$10004=$A10),0),0),0))=0,"",SUM(INDEX(NHAP_LIEU!$H$5:$S$10004,MATCH(1,INDEX((NHAP_LIEU!$A$5:$A$10004=($J$2+7-2))*(NHAP_LIEU!$B$5:$B$10004=$A10),0),0),0))),""))</f>
        <v/>
      </c>
      <c r="H10" s="20" t="str">
        <f aca="false">IF(OR($A10="",MONTH(($J$2+8-2))&lt;&gt;MONTH($J$2)),"",IFERROR(IF(COUNT(INDEX(NHAP_LIEU!$H$5:$S$10004,MATCH(1,INDEX((NHAP_LIEU!$A$5:$A$10004=($J$2+8-2))*(NHAP_LIEU!$B$5:$B$10004=$A10),0),0),0))=0,"",SUM(INDEX(NHAP_LIEU!$H$5:$S$10004,MATCH(1,INDEX((NHAP_LIEU!$A$5:$A$10004=($J$2+8-2))*(NHAP_LIEU!$B$5:$B$10004=$A10),0),0),0))),""))</f>
        <v/>
      </c>
      <c r="I10" s="20" t="str">
        <f aca="false">IF(OR($A10="",MONTH(($J$2+9-2))&lt;&gt;MONTH($J$2)),"",IFERROR(IF(COUNT(INDEX(NHAP_LIEU!$H$5:$S$10004,MATCH(1,INDEX((NHAP_LIEU!$A$5:$A$10004=($J$2+9-2))*(NHAP_LIEU!$B$5:$B$10004=$A10),0),0),0))=0,"",SUM(INDEX(NHAP_LIEU!$H$5:$S$10004,MATCH(1,INDEX((NHAP_LIEU!$A$5:$A$10004=($J$2+9-2))*(NHAP_LIEU!$B$5:$B$10004=$A10),0),0),0))),""))</f>
        <v/>
      </c>
      <c r="J10" s="20" t="str">
        <f aca="false">IF(OR($A10="",MONTH(($J$2+10-2))&lt;&gt;MONTH($J$2)),"",IFERROR(IF(COUNT(INDEX(NHAP_LIEU!$H$5:$S$10004,MATCH(1,INDEX((NHAP_LIEU!$A$5:$A$10004=($J$2+10-2))*(NHAP_LIEU!$B$5:$B$10004=$A10),0),0),0))=0,"",SUM(INDEX(NHAP_LIEU!$H$5:$S$10004,MATCH(1,INDEX((NHAP_LIEU!$A$5:$A$10004=($J$2+10-2))*(NHAP_LIEU!$B$5:$B$10004=$A10),0),0),0))),""))</f>
        <v/>
      </c>
      <c r="K10" s="20" t="str">
        <f aca="false">IF(OR($A10="",MONTH(($J$2+11-2))&lt;&gt;MONTH($J$2)),"",IFERROR(IF(COUNT(INDEX(NHAP_LIEU!$H$5:$S$10004,MATCH(1,INDEX((NHAP_LIEU!$A$5:$A$10004=($J$2+11-2))*(NHAP_LIEU!$B$5:$B$10004=$A10),0),0),0))=0,"",SUM(INDEX(NHAP_LIEU!$H$5:$S$10004,MATCH(1,INDEX((NHAP_LIEU!$A$5:$A$10004=($J$2+11-2))*(NHAP_LIEU!$B$5:$B$10004=$A10),0),0),0))),""))</f>
        <v/>
      </c>
      <c r="L10" s="20" t="str">
        <f aca="false">IF(OR($A10="",MONTH(($J$2+12-2))&lt;&gt;MONTH($J$2)),"",IFERROR(IF(COUNT(INDEX(NHAP_LIEU!$H$5:$S$10004,MATCH(1,INDEX((NHAP_LIEU!$A$5:$A$10004=($J$2+12-2))*(NHAP_LIEU!$B$5:$B$10004=$A10),0),0),0))=0,"",SUM(INDEX(NHAP_LIEU!$H$5:$S$10004,MATCH(1,INDEX((NHAP_LIEU!$A$5:$A$10004=($J$2+12-2))*(NHAP_LIEU!$B$5:$B$10004=$A10),0),0),0))),""))</f>
        <v/>
      </c>
      <c r="M10" s="20" t="str">
        <f aca="false">IF(OR($A10="",MONTH(($J$2+13-2))&lt;&gt;MONTH($J$2)),"",IFERROR(IF(COUNT(INDEX(NHAP_LIEU!$H$5:$S$10004,MATCH(1,INDEX((NHAP_LIEU!$A$5:$A$10004=($J$2+13-2))*(NHAP_LIEU!$B$5:$B$10004=$A10),0),0),0))=0,"",SUM(INDEX(NHAP_LIEU!$H$5:$S$10004,MATCH(1,INDEX((NHAP_LIEU!$A$5:$A$10004=($J$2+13-2))*(NHAP_LIEU!$B$5:$B$10004=$A10),0),0),0))),""))</f>
        <v/>
      </c>
      <c r="N10" s="20" t="str">
        <f aca="false">IF(OR($A10="",MONTH(($J$2+14-2))&lt;&gt;MONTH($J$2)),"",IFERROR(IF(COUNT(INDEX(NHAP_LIEU!$H$5:$S$10004,MATCH(1,INDEX((NHAP_LIEU!$A$5:$A$10004=($J$2+14-2))*(NHAP_LIEU!$B$5:$B$10004=$A10),0),0),0))=0,"",SUM(INDEX(NHAP_LIEU!$H$5:$S$10004,MATCH(1,INDEX((NHAP_LIEU!$A$5:$A$10004=($J$2+14-2))*(NHAP_LIEU!$B$5:$B$10004=$A10),0),0),0))),""))</f>
        <v/>
      </c>
      <c r="O10" s="20" t="str">
        <f aca="false">IF(OR($A10="",MONTH(($J$2+15-2))&lt;&gt;MONTH($J$2)),"",IFERROR(IF(COUNT(INDEX(NHAP_LIEU!$H$5:$S$10004,MATCH(1,INDEX((NHAP_LIEU!$A$5:$A$10004=($J$2+15-2))*(NHAP_LIEU!$B$5:$B$10004=$A10),0),0),0))=0,"",SUM(INDEX(NHAP_LIEU!$H$5:$S$10004,MATCH(1,INDEX((NHAP_LIEU!$A$5:$A$10004=($J$2+15-2))*(NHAP_LIEU!$B$5:$B$10004=$A10),0),0),0))),""))</f>
        <v/>
      </c>
      <c r="P10" s="20" t="str">
        <f aca="false">IF(OR($A10="",MONTH(($J$2+16-2))&lt;&gt;MONTH($J$2)),"",IFERROR(IF(COUNT(INDEX(NHAP_LIEU!$H$5:$S$10004,MATCH(1,INDEX((NHAP_LIEU!$A$5:$A$10004=($J$2+16-2))*(NHAP_LIEU!$B$5:$B$10004=$A10),0),0),0))=0,"",SUM(INDEX(NHAP_LIEU!$H$5:$S$10004,MATCH(1,INDEX((NHAP_LIEU!$A$5:$A$10004=($J$2+16-2))*(NHAP_LIEU!$B$5:$B$10004=$A10),0),0),0))),""))</f>
        <v/>
      </c>
      <c r="Q10" s="20" t="str">
        <f aca="false">IF(OR($A10="",MONTH(($J$2+17-2))&lt;&gt;MONTH($J$2)),"",IFERROR(IF(COUNT(INDEX(NHAP_LIEU!$H$5:$S$10004,MATCH(1,INDEX((NHAP_LIEU!$A$5:$A$10004=($J$2+17-2))*(NHAP_LIEU!$B$5:$B$10004=$A10),0),0),0))=0,"",SUM(INDEX(NHAP_LIEU!$H$5:$S$10004,MATCH(1,INDEX((NHAP_LIEU!$A$5:$A$10004=($J$2+17-2))*(NHAP_LIEU!$B$5:$B$10004=$A10),0),0),0))),""))</f>
        <v/>
      </c>
      <c r="R10" s="20" t="str">
        <f aca="false">IF(OR($A10="",MONTH(($J$2+18-2))&lt;&gt;MONTH($J$2)),"",IFERROR(IF(COUNT(INDEX(NHAP_LIEU!$H$5:$S$10004,MATCH(1,INDEX((NHAP_LIEU!$A$5:$A$10004=($J$2+18-2))*(NHAP_LIEU!$B$5:$B$10004=$A10),0),0),0))=0,"",SUM(INDEX(NHAP_LIEU!$H$5:$S$10004,MATCH(1,INDEX((NHAP_LIEU!$A$5:$A$10004=($J$2+18-2))*(NHAP_LIEU!$B$5:$B$10004=$A10),0),0),0))),""))</f>
        <v/>
      </c>
      <c r="S10" s="20" t="str">
        <f aca="false">IF(OR($A10="",MONTH(($J$2+19-2))&lt;&gt;MONTH($J$2)),"",IFERROR(IF(COUNT(INDEX(NHAP_LIEU!$H$5:$S$10004,MATCH(1,INDEX((NHAP_LIEU!$A$5:$A$10004=($J$2+19-2))*(NHAP_LIEU!$B$5:$B$10004=$A10),0),0),0))=0,"",SUM(INDEX(NHAP_LIEU!$H$5:$S$10004,MATCH(1,INDEX((NHAP_LIEU!$A$5:$A$10004=($J$2+19-2))*(NHAP_LIEU!$B$5:$B$10004=$A10),0),0),0))),""))</f>
        <v/>
      </c>
      <c r="T10" s="20" t="str">
        <f aca="false">IF(OR($A10="",MONTH(($J$2+20-2))&lt;&gt;MONTH($J$2)),"",IFERROR(IF(COUNT(INDEX(NHAP_LIEU!$H$5:$S$10004,MATCH(1,INDEX((NHAP_LIEU!$A$5:$A$10004=($J$2+20-2))*(NHAP_LIEU!$B$5:$B$10004=$A10),0),0),0))=0,"",SUM(INDEX(NHAP_LIEU!$H$5:$S$10004,MATCH(1,INDEX((NHAP_LIEU!$A$5:$A$10004=($J$2+20-2))*(NHAP_LIEU!$B$5:$B$10004=$A10),0),0),0))),""))</f>
        <v/>
      </c>
      <c r="U10" s="20" t="str">
        <f aca="false">IF(OR($A10="",MONTH(($J$2+21-2))&lt;&gt;MONTH($J$2)),"",IFERROR(IF(COUNT(INDEX(NHAP_LIEU!$H$5:$S$10004,MATCH(1,INDEX((NHAP_LIEU!$A$5:$A$10004=($J$2+21-2))*(NHAP_LIEU!$B$5:$B$10004=$A10),0),0),0))=0,"",SUM(INDEX(NHAP_LIEU!$H$5:$S$10004,MATCH(1,INDEX((NHAP_LIEU!$A$5:$A$10004=($J$2+21-2))*(NHAP_LIEU!$B$5:$B$10004=$A10),0),0),0))),""))</f>
        <v/>
      </c>
      <c r="V10" s="20" t="str">
        <f aca="false">IF(OR($A10="",MONTH(($J$2+22-2))&lt;&gt;MONTH($J$2)),"",IFERROR(IF(COUNT(INDEX(NHAP_LIEU!$H$5:$S$10004,MATCH(1,INDEX((NHAP_LIEU!$A$5:$A$10004=($J$2+22-2))*(NHAP_LIEU!$B$5:$B$10004=$A10),0),0),0))=0,"",SUM(INDEX(NHAP_LIEU!$H$5:$S$10004,MATCH(1,INDEX((NHAP_LIEU!$A$5:$A$10004=($J$2+22-2))*(NHAP_LIEU!$B$5:$B$10004=$A10),0),0),0))),""))</f>
        <v/>
      </c>
      <c r="W10" s="20" t="str">
        <f aca="false">IF(OR($A10="",MONTH(($J$2+23-2))&lt;&gt;MONTH($J$2)),"",IFERROR(IF(COUNT(INDEX(NHAP_LIEU!$H$5:$S$10004,MATCH(1,INDEX((NHAP_LIEU!$A$5:$A$10004=($J$2+23-2))*(NHAP_LIEU!$B$5:$B$10004=$A10),0),0),0))=0,"",SUM(INDEX(NHAP_LIEU!$H$5:$S$10004,MATCH(1,INDEX((NHAP_LIEU!$A$5:$A$10004=($J$2+23-2))*(NHAP_LIEU!$B$5:$B$10004=$A10),0),0),0))),""))</f>
        <v/>
      </c>
      <c r="X10" s="20" t="str">
        <f aca="false">IF(OR($A10="",MONTH(($J$2+24-2))&lt;&gt;MONTH($J$2)),"",IFERROR(IF(COUNT(INDEX(NHAP_LIEU!$H$5:$S$10004,MATCH(1,INDEX((NHAP_LIEU!$A$5:$A$10004=($J$2+24-2))*(NHAP_LIEU!$B$5:$B$10004=$A10),0),0),0))=0,"",SUM(INDEX(NHAP_LIEU!$H$5:$S$10004,MATCH(1,INDEX((NHAP_LIEU!$A$5:$A$10004=($J$2+24-2))*(NHAP_LIEU!$B$5:$B$10004=$A10),0),0),0))),""))</f>
        <v/>
      </c>
      <c r="Y10" s="20" t="str">
        <f aca="false">IF(OR($A10="",MONTH(($J$2+25-2))&lt;&gt;MONTH($J$2)),"",IFERROR(IF(COUNT(INDEX(NHAP_LIEU!$H$5:$S$10004,MATCH(1,INDEX((NHAP_LIEU!$A$5:$A$10004=($J$2+25-2))*(NHAP_LIEU!$B$5:$B$10004=$A10),0),0),0))=0,"",SUM(INDEX(NHAP_LIEU!$H$5:$S$10004,MATCH(1,INDEX((NHAP_LIEU!$A$5:$A$10004=($J$2+25-2))*(NHAP_LIEU!$B$5:$B$10004=$A10),0),0),0))),""))</f>
        <v/>
      </c>
      <c r="Z10" s="20" t="str">
        <f aca="false">IF(OR($A10="",MONTH(($J$2+26-2))&lt;&gt;MONTH($J$2)),"",IFERROR(IF(COUNT(INDEX(NHAP_LIEU!$H$5:$S$10004,MATCH(1,INDEX((NHAP_LIEU!$A$5:$A$10004=($J$2+26-2))*(NHAP_LIEU!$B$5:$B$10004=$A10),0),0),0))=0,"",SUM(INDEX(NHAP_LIEU!$H$5:$S$10004,MATCH(1,INDEX((NHAP_LIEU!$A$5:$A$10004=($J$2+26-2))*(NHAP_LIEU!$B$5:$B$10004=$A10),0),0),0))),""))</f>
        <v/>
      </c>
      <c r="AA10" s="20" t="str">
        <f aca="false">IF(OR($A10="",MONTH(($J$2+27-2))&lt;&gt;MONTH($J$2)),"",IFERROR(IF(COUNT(INDEX(NHAP_LIEU!$H$5:$S$10004,MATCH(1,INDEX((NHAP_LIEU!$A$5:$A$10004=($J$2+27-2))*(NHAP_LIEU!$B$5:$B$10004=$A10),0),0),0))=0,"",SUM(INDEX(NHAP_LIEU!$H$5:$S$10004,MATCH(1,INDEX((NHAP_LIEU!$A$5:$A$10004=($J$2+27-2))*(NHAP_LIEU!$B$5:$B$10004=$A10),0),0),0))),""))</f>
        <v/>
      </c>
      <c r="AB10" s="20" t="str">
        <f aca="false">IF(OR($A10="",MONTH(($J$2+28-2))&lt;&gt;MONTH($J$2)),"",IFERROR(IF(COUNT(INDEX(NHAP_LIEU!$H$5:$S$10004,MATCH(1,INDEX((NHAP_LIEU!$A$5:$A$10004=($J$2+28-2))*(NHAP_LIEU!$B$5:$B$10004=$A10),0),0),0))=0,"",SUM(INDEX(NHAP_LIEU!$H$5:$S$10004,MATCH(1,INDEX((NHAP_LIEU!$A$5:$A$10004=($J$2+28-2))*(NHAP_LIEU!$B$5:$B$10004=$A10),0),0),0))),""))</f>
        <v/>
      </c>
      <c r="AC10" s="20" t="str">
        <f aca="false">IF(OR($A10="",MONTH(($J$2+29-2))&lt;&gt;MONTH($J$2)),"",IFERROR(IF(COUNT(INDEX(NHAP_LIEU!$H$5:$S$10004,MATCH(1,INDEX((NHAP_LIEU!$A$5:$A$10004=($J$2+29-2))*(NHAP_LIEU!$B$5:$B$10004=$A10),0),0),0))=0,"",SUM(INDEX(NHAP_LIEU!$H$5:$S$10004,MATCH(1,INDEX((NHAP_LIEU!$A$5:$A$10004=($J$2+29-2))*(NHAP_LIEU!$B$5:$B$10004=$A10),0),0),0))),""))</f>
        <v/>
      </c>
      <c r="AD10" s="20" t="str">
        <f aca="false">IF(OR($A10="",MONTH(($J$2+30-2))&lt;&gt;MONTH($J$2)),"",IFERROR(IF(COUNT(INDEX(NHAP_LIEU!$H$5:$S$10004,MATCH(1,INDEX((NHAP_LIEU!$A$5:$A$10004=($J$2+30-2))*(NHAP_LIEU!$B$5:$B$10004=$A10),0),0),0))=0,"",SUM(INDEX(NHAP_LIEU!$H$5:$S$10004,MATCH(1,INDEX((NHAP_LIEU!$A$5:$A$10004=($J$2+30-2))*(NHAP_LIEU!$B$5:$B$10004=$A10),0),0),0))),""))</f>
        <v/>
      </c>
      <c r="AE10" s="20" t="str">
        <f aca="false">IF(OR($A10="",MONTH(($J$2+31-2))&lt;&gt;MONTH($J$2)),"",IFERROR(IF(COUNT(INDEX(NHAP_LIEU!$H$5:$S$10004,MATCH(1,INDEX((NHAP_LIEU!$A$5:$A$10004=($J$2+31-2))*(NHAP_LIEU!$B$5:$B$10004=$A10),0),0),0))=0,"",SUM(INDEX(NHAP_LIEU!$H$5:$S$10004,MATCH(1,INDEX((NHAP_LIEU!$A$5:$A$10004=($J$2+31-2))*(NHAP_LIEU!$B$5:$B$10004=$A10),0),0),0))),""))</f>
        <v/>
      </c>
      <c r="AF10" s="20" t="str">
        <f aca="false">IF(OR($A10="",MONTH(($J$2+32-2))&lt;&gt;MONTH($J$2)),"",IFERROR(IF(COUNT(INDEX(NHAP_LIEU!$H$5:$S$10004,MATCH(1,INDEX((NHAP_LIEU!$A$5:$A$10004=($J$2+32-2))*(NHAP_LIEU!$B$5:$B$10004=$A10),0),0),0))=0,"",SUM(INDEX(NHAP_LIEU!$H$5:$S$10004,MATCH(1,INDEX((NHAP_LIEU!$A$5:$A$10004=($J$2+32-2))*(NHAP_LIEU!$B$5:$B$10004=$A10),0),0),0))),""))</f>
        <v/>
      </c>
      <c r="AG10" s="52" t="n">
        <f aca="false">IF($A10="","",SUM(B10:AF10))</f>
        <v>0</v>
      </c>
      <c r="AH10" s="20" t="n">
        <f aca="false">IF($A10="","",SUMPRODUCT((NHAP_LIEU!$B$5:$B$10004=$A10)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0</v>
      </c>
      <c r="AI10" s="53" t="str">
        <f aca="false">IF(OR($A10="",N(AH10)=0),"",AG10/AH10)</f>
        <v/>
      </c>
    </row>
    <row r="11" customFormat="false" ht="15" hidden="false" customHeight="false" outlineLevel="0" collapsed="false">
      <c r="A11" s="51" t="str">
        <f aca="false">IF(DANH_SACH_CHUYEN!B10="","",DANH_SACH_CHUYEN!B10)</f>
        <v>Chuyền 6</v>
      </c>
      <c r="B11" s="20" t="n">
        <f aca="false">IF(OR($A11="",MONTH(($J$2+2-2))&lt;&gt;MONTH($J$2)),"",IFERROR(IF(COUNT(INDEX(NHAP_LIEU!$H$5:$S$10004,MATCH(1,INDEX((NHAP_LIEU!$A$5:$A$10004=($J$2+2-2))*(NHAP_LIEU!$B$5:$B$10004=$A11),0),0),0))=0,"",SUM(INDEX(NHAP_LIEU!$H$5:$S$10004,MATCH(1,INDEX((NHAP_LIEU!$A$5:$A$10004=($J$2+2-2))*(NHAP_LIEU!$B$5:$B$10004=$A11),0),0),0))),""))</f>
        <v>300</v>
      </c>
      <c r="C11" s="20" t="str">
        <f aca="false">IF(OR($A11="",MONTH(($J$2+3-2))&lt;&gt;MONTH($J$2)),"",IFERROR(IF(COUNT(INDEX(NHAP_LIEU!$H$5:$S$10004,MATCH(1,INDEX((NHAP_LIEU!$A$5:$A$10004=($J$2+3-2))*(NHAP_LIEU!$B$5:$B$10004=$A11),0),0),0))=0,"",SUM(INDEX(NHAP_LIEU!$H$5:$S$10004,MATCH(1,INDEX((NHAP_LIEU!$A$5:$A$10004=($J$2+3-2))*(NHAP_LIEU!$B$5:$B$10004=$A11),0),0),0))),""))</f>
        <v/>
      </c>
      <c r="D11" s="20" t="str">
        <f aca="false">IF(OR($A11="",MONTH(($J$2+4-2))&lt;&gt;MONTH($J$2)),"",IFERROR(IF(COUNT(INDEX(NHAP_LIEU!$H$5:$S$10004,MATCH(1,INDEX((NHAP_LIEU!$A$5:$A$10004=($J$2+4-2))*(NHAP_LIEU!$B$5:$B$10004=$A11),0),0),0))=0,"",SUM(INDEX(NHAP_LIEU!$H$5:$S$10004,MATCH(1,INDEX((NHAP_LIEU!$A$5:$A$10004=($J$2+4-2))*(NHAP_LIEU!$B$5:$B$10004=$A11),0),0),0))),""))</f>
        <v/>
      </c>
      <c r="E11" s="20" t="str">
        <f aca="false">IF(OR($A11="",MONTH(($J$2+5-2))&lt;&gt;MONTH($J$2)),"",IFERROR(IF(COUNT(INDEX(NHAP_LIEU!$H$5:$S$10004,MATCH(1,INDEX((NHAP_LIEU!$A$5:$A$10004=($J$2+5-2))*(NHAP_LIEU!$B$5:$B$10004=$A11),0),0),0))=0,"",SUM(INDEX(NHAP_LIEU!$H$5:$S$10004,MATCH(1,INDEX((NHAP_LIEU!$A$5:$A$10004=($J$2+5-2))*(NHAP_LIEU!$B$5:$B$10004=$A11),0),0),0))),""))</f>
        <v/>
      </c>
      <c r="F11" s="20" t="str">
        <f aca="false">IF(OR($A11="",MONTH(($J$2+6-2))&lt;&gt;MONTH($J$2)),"",IFERROR(IF(COUNT(INDEX(NHAP_LIEU!$H$5:$S$10004,MATCH(1,INDEX((NHAP_LIEU!$A$5:$A$10004=($J$2+6-2))*(NHAP_LIEU!$B$5:$B$10004=$A11),0),0),0))=0,"",SUM(INDEX(NHAP_LIEU!$H$5:$S$10004,MATCH(1,INDEX((NHAP_LIEU!$A$5:$A$10004=($J$2+6-2))*(NHAP_LIEU!$B$5:$B$10004=$A11),0),0),0))),""))</f>
        <v/>
      </c>
      <c r="G11" s="20" t="str">
        <f aca="false">IF(OR($A11="",MONTH(($J$2+7-2))&lt;&gt;MONTH($J$2)),"",IFERROR(IF(COUNT(INDEX(NHAP_LIEU!$H$5:$S$10004,MATCH(1,INDEX((NHAP_LIEU!$A$5:$A$10004=($J$2+7-2))*(NHAP_LIEU!$B$5:$B$10004=$A11),0),0),0))=0,"",SUM(INDEX(NHAP_LIEU!$H$5:$S$10004,MATCH(1,INDEX((NHAP_LIEU!$A$5:$A$10004=($J$2+7-2))*(NHAP_LIEU!$B$5:$B$10004=$A11),0),0),0))),""))</f>
        <v/>
      </c>
      <c r="H11" s="20" t="str">
        <f aca="false">IF(OR($A11="",MONTH(($J$2+8-2))&lt;&gt;MONTH($J$2)),"",IFERROR(IF(COUNT(INDEX(NHAP_LIEU!$H$5:$S$10004,MATCH(1,INDEX((NHAP_LIEU!$A$5:$A$10004=($J$2+8-2))*(NHAP_LIEU!$B$5:$B$10004=$A11),0),0),0))=0,"",SUM(INDEX(NHAP_LIEU!$H$5:$S$10004,MATCH(1,INDEX((NHAP_LIEU!$A$5:$A$10004=($J$2+8-2))*(NHAP_LIEU!$B$5:$B$10004=$A11),0),0),0))),""))</f>
        <v/>
      </c>
      <c r="I11" s="20" t="str">
        <f aca="false">IF(OR($A11="",MONTH(($J$2+9-2))&lt;&gt;MONTH($J$2)),"",IFERROR(IF(COUNT(INDEX(NHAP_LIEU!$H$5:$S$10004,MATCH(1,INDEX((NHAP_LIEU!$A$5:$A$10004=($J$2+9-2))*(NHAP_LIEU!$B$5:$B$10004=$A11),0),0),0))=0,"",SUM(INDEX(NHAP_LIEU!$H$5:$S$10004,MATCH(1,INDEX((NHAP_LIEU!$A$5:$A$10004=($J$2+9-2))*(NHAP_LIEU!$B$5:$B$10004=$A11),0),0),0))),""))</f>
        <v/>
      </c>
      <c r="J11" s="20" t="str">
        <f aca="false">IF(OR($A11="",MONTH(($J$2+10-2))&lt;&gt;MONTH($J$2)),"",IFERROR(IF(COUNT(INDEX(NHAP_LIEU!$H$5:$S$10004,MATCH(1,INDEX((NHAP_LIEU!$A$5:$A$10004=($J$2+10-2))*(NHAP_LIEU!$B$5:$B$10004=$A11),0),0),0))=0,"",SUM(INDEX(NHAP_LIEU!$H$5:$S$10004,MATCH(1,INDEX((NHAP_LIEU!$A$5:$A$10004=($J$2+10-2))*(NHAP_LIEU!$B$5:$B$10004=$A11),0),0),0))),""))</f>
        <v/>
      </c>
      <c r="K11" s="20" t="str">
        <f aca="false">IF(OR($A11="",MONTH(($J$2+11-2))&lt;&gt;MONTH($J$2)),"",IFERROR(IF(COUNT(INDEX(NHAP_LIEU!$H$5:$S$10004,MATCH(1,INDEX((NHAP_LIEU!$A$5:$A$10004=($J$2+11-2))*(NHAP_LIEU!$B$5:$B$10004=$A11),0),0),0))=0,"",SUM(INDEX(NHAP_LIEU!$H$5:$S$10004,MATCH(1,INDEX((NHAP_LIEU!$A$5:$A$10004=($J$2+11-2))*(NHAP_LIEU!$B$5:$B$10004=$A11),0),0),0))),""))</f>
        <v/>
      </c>
      <c r="L11" s="20" t="str">
        <f aca="false">IF(OR($A11="",MONTH(($J$2+12-2))&lt;&gt;MONTH($J$2)),"",IFERROR(IF(COUNT(INDEX(NHAP_LIEU!$H$5:$S$10004,MATCH(1,INDEX((NHAP_LIEU!$A$5:$A$10004=($J$2+12-2))*(NHAP_LIEU!$B$5:$B$10004=$A11),0),0),0))=0,"",SUM(INDEX(NHAP_LIEU!$H$5:$S$10004,MATCH(1,INDEX((NHAP_LIEU!$A$5:$A$10004=($J$2+12-2))*(NHAP_LIEU!$B$5:$B$10004=$A11),0),0),0))),""))</f>
        <v/>
      </c>
      <c r="M11" s="20" t="str">
        <f aca="false">IF(OR($A11="",MONTH(($J$2+13-2))&lt;&gt;MONTH($J$2)),"",IFERROR(IF(COUNT(INDEX(NHAP_LIEU!$H$5:$S$10004,MATCH(1,INDEX((NHAP_LIEU!$A$5:$A$10004=($J$2+13-2))*(NHAP_LIEU!$B$5:$B$10004=$A11),0),0),0))=0,"",SUM(INDEX(NHAP_LIEU!$H$5:$S$10004,MATCH(1,INDEX((NHAP_LIEU!$A$5:$A$10004=($J$2+13-2))*(NHAP_LIEU!$B$5:$B$10004=$A11),0),0),0))),""))</f>
        <v/>
      </c>
      <c r="N11" s="20" t="str">
        <f aca="false">IF(OR($A11="",MONTH(($J$2+14-2))&lt;&gt;MONTH($J$2)),"",IFERROR(IF(COUNT(INDEX(NHAP_LIEU!$H$5:$S$10004,MATCH(1,INDEX((NHAP_LIEU!$A$5:$A$10004=($J$2+14-2))*(NHAP_LIEU!$B$5:$B$10004=$A11),0),0),0))=0,"",SUM(INDEX(NHAP_LIEU!$H$5:$S$10004,MATCH(1,INDEX((NHAP_LIEU!$A$5:$A$10004=($J$2+14-2))*(NHAP_LIEU!$B$5:$B$10004=$A11),0),0),0))),""))</f>
        <v/>
      </c>
      <c r="O11" s="20" t="str">
        <f aca="false">IF(OR($A11="",MONTH(($J$2+15-2))&lt;&gt;MONTH($J$2)),"",IFERROR(IF(COUNT(INDEX(NHAP_LIEU!$H$5:$S$10004,MATCH(1,INDEX((NHAP_LIEU!$A$5:$A$10004=($J$2+15-2))*(NHAP_LIEU!$B$5:$B$10004=$A11),0),0),0))=0,"",SUM(INDEX(NHAP_LIEU!$H$5:$S$10004,MATCH(1,INDEX((NHAP_LIEU!$A$5:$A$10004=($J$2+15-2))*(NHAP_LIEU!$B$5:$B$10004=$A11),0),0),0))),""))</f>
        <v/>
      </c>
      <c r="P11" s="20" t="str">
        <f aca="false">IF(OR($A11="",MONTH(($J$2+16-2))&lt;&gt;MONTH($J$2)),"",IFERROR(IF(COUNT(INDEX(NHAP_LIEU!$H$5:$S$10004,MATCH(1,INDEX((NHAP_LIEU!$A$5:$A$10004=($J$2+16-2))*(NHAP_LIEU!$B$5:$B$10004=$A11),0),0),0))=0,"",SUM(INDEX(NHAP_LIEU!$H$5:$S$10004,MATCH(1,INDEX((NHAP_LIEU!$A$5:$A$10004=($J$2+16-2))*(NHAP_LIEU!$B$5:$B$10004=$A11),0),0),0))),""))</f>
        <v/>
      </c>
      <c r="Q11" s="20" t="str">
        <f aca="false">IF(OR($A11="",MONTH(($J$2+17-2))&lt;&gt;MONTH($J$2)),"",IFERROR(IF(COUNT(INDEX(NHAP_LIEU!$H$5:$S$10004,MATCH(1,INDEX((NHAP_LIEU!$A$5:$A$10004=($J$2+17-2))*(NHAP_LIEU!$B$5:$B$10004=$A11),0),0),0))=0,"",SUM(INDEX(NHAP_LIEU!$H$5:$S$10004,MATCH(1,INDEX((NHAP_LIEU!$A$5:$A$10004=($J$2+17-2))*(NHAP_LIEU!$B$5:$B$10004=$A11),0),0),0))),""))</f>
        <v/>
      </c>
      <c r="R11" s="20" t="str">
        <f aca="false">IF(OR($A11="",MONTH(($J$2+18-2))&lt;&gt;MONTH($J$2)),"",IFERROR(IF(COUNT(INDEX(NHAP_LIEU!$H$5:$S$10004,MATCH(1,INDEX((NHAP_LIEU!$A$5:$A$10004=($J$2+18-2))*(NHAP_LIEU!$B$5:$B$10004=$A11),0),0),0))=0,"",SUM(INDEX(NHAP_LIEU!$H$5:$S$10004,MATCH(1,INDEX((NHAP_LIEU!$A$5:$A$10004=($J$2+18-2))*(NHAP_LIEU!$B$5:$B$10004=$A11),0),0),0))),""))</f>
        <v/>
      </c>
      <c r="S11" s="20" t="str">
        <f aca="false">IF(OR($A11="",MONTH(($J$2+19-2))&lt;&gt;MONTH($J$2)),"",IFERROR(IF(COUNT(INDEX(NHAP_LIEU!$H$5:$S$10004,MATCH(1,INDEX((NHAP_LIEU!$A$5:$A$10004=($J$2+19-2))*(NHAP_LIEU!$B$5:$B$10004=$A11),0),0),0))=0,"",SUM(INDEX(NHAP_LIEU!$H$5:$S$10004,MATCH(1,INDEX((NHAP_LIEU!$A$5:$A$10004=($J$2+19-2))*(NHAP_LIEU!$B$5:$B$10004=$A11),0),0),0))),""))</f>
        <v/>
      </c>
      <c r="T11" s="20" t="str">
        <f aca="false">IF(OR($A11="",MONTH(($J$2+20-2))&lt;&gt;MONTH($J$2)),"",IFERROR(IF(COUNT(INDEX(NHAP_LIEU!$H$5:$S$10004,MATCH(1,INDEX((NHAP_LIEU!$A$5:$A$10004=($J$2+20-2))*(NHAP_LIEU!$B$5:$B$10004=$A11),0),0),0))=0,"",SUM(INDEX(NHAP_LIEU!$H$5:$S$10004,MATCH(1,INDEX((NHAP_LIEU!$A$5:$A$10004=($J$2+20-2))*(NHAP_LIEU!$B$5:$B$10004=$A11),0),0),0))),""))</f>
        <v/>
      </c>
      <c r="U11" s="20" t="str">
        <f aca="false">IF(OR($A11="",MONTH(($J$2+21-2))&lt;&gt;MONTH($J$2)),"",IFERROR(IF(COUNT(INDEX(NHAP_LIEU!$H$5:$S$10004,MATCH(1,INDEX((NHAP_LIEU!$A$5:$A$10004=($J$2+21-2))*(NHAP_LIEU!$B$5:$B$10004=$A11),0),0),0))=0,"",SUM(INDEX(NHAP_LIEU!$H$5:$S$10004,MATCH(1,INDEX((NHAP_LIEU!$A$5:$A$10004=($J$2+21-2))*(NHAP_LIEU!$B$5:$B$10004=$A11),0),0),0))),""))</f>
        <v/>
      </c>
      <c r="V11" s="20" t="str">
        <f aca="false">IF(OR($A11="",MONTH(($J$2+22-2))&lt;&gt;MONTH($J$2)),"",IFERROR(IF(COUNT(INDEX(NHAP_LIEU!$H$5:$S$10004,MATCH(1,INDEX((NHAP_LIEU!$A$5:$A$10004=($J$2+22-2))*(NHAP_LIEU!$B$5:$B$10004=$A11),0),0),0))=0,"",SUM(INDEX(NHAP_LIEU!$H$5:$S$10004,MATCH(1,INDEX((NHAP_LIEU!$A$5:$A$10004=($J$2+22-2))*(NHAP_LIEU!$B$5:$B$10004=$A11),0),0),0))),""))</f>
        <v/>
      </c>
      <c r="W11" s="20" t="str">
        <f aca="false">IF(OR($A11="",MONTH(($J$2+23-2))&lt;&gt;MONTH($J$2)),"",IFERROR(IF(COUNT(INDEX(NHAP_LIEU!$H$5:$S$10004,MATCH(1,INDEX((NHAP_LIEU!$A$5:$A$10004=($J$2+23-2))*(NHAP_LIEU!$B$5:$B$10004=$A11),0),0),0))=0,"",SUM(INDEX(NHAP_LIEU!$H$5:$S$10004,MATCH(1,INDEX((NHAP_LIEU!$A$5:$A$10004=($J$2+23-2))*(NHAP_LIEU!$B$5:$B$10004=$A11),0),0),0))),""))</f>
        <v/>
      </c>
      <c r="X11" s="20" t="str">
        <f aca="false">IF(OR($A11="",MONTH(($J$2+24-2))&lt;&gt;MONTH($J$2)),"",IFERROR(IF(COUNT(INDEX(NHAP_LIEU!$H$5:$S$10004,MATCH(1,INDEX((NHAP_LIEU!$A$5:$A$10004=($J$2+24-2))*(NHAP_LIEU!$B$5:$B$10004=$A11),0),0),0))=0,"",SUM(INDEX(NHAP_LIEU!$H$5:$S$10004,MATCH(1,INDEX((NHAP_LIEU!$A$5:$A$10004=($J$2+24-2))*(NHAP_LIEU!$B$5:$B$10004=$A11),0),0),0))),""))</f>
        <v/>
      </c>
      <c r="Y11" s="20" t="str">
        <f aca="false">IF(OR($A11="",MONTH(($J$2+25-2))&lt;&gt;MONTH($J$2)),"",IFERROR(IF(COUNT(INDEX(NHAP_LIEU!$H$5:$S$10004,MATCH(1,INDEX((NHAP_LIEU!$A$5:$A$10004=($J$2+25-2))*(NHAP_LIEU!$B$5:$B$10004=$A11),0),0),0))=0,"",SUM(INDEX(NHAP_LIEU!$H$5:$S$10004,MATCH(1,INDEX((NHAP_LIEU!$A$5:$A$10004=($J$2+25-2))*(NHAP_LIEU!$B$5:$B$10004=$A11),0),0),0))),""))</f>
        <v/>
      </c>
      <c r="Z11" s="20" t="str">
        <f aca="false">IF(OR($A11="",MONTH(($J$2+26-2))&lt;&gt;MONTH($J$2)),"",IFERROR(IF(COUNT(INDEX(NHAP_LIEU!$H$5:$S$10004,MATCH(1,INDEX((NHAP_LIEU!$A$5:$A$10004=($J$2+26-2))*(NHAP_LIEU!$B$5:$B$10004=$A11),0),0),0))=0,"",SUM(INDEX(NHAP_LIEU!$H$5:$S$10004,MATCH(1,INDEX((NHAP_LIEU!$A$5:$A$10004=($J$2+26-2))*(NHAP_LIEU!$B$5:$B$10004=$A11),0),0),0))),""))</f>
        <v/>
      </c>
      <c r="AA11" s="20" t="str">
        <f aca="false">IF(OR($A11="",MONTH(($J$2+27-2))&lt;&gt;MONTH($J$2)),"",IFERROR(IF(COUNT(INDEX(NHAP_LIEU!$H$5:$S$10004,MATCH(1,INDEX((NHAP_LIEU!$A$5:$A$10004=($J$2+27-2))*(NHAP_LIEU!$B$5:$B$10004=$A11),0),0),0))=0,"",SUM(INDEX(NHAP_LIEU!$H$5:$S$10004,MATCH(1,INDEX((NHAP_LIEU!$A$5:$A$10004=($J$2+27-2))*(NHAP_LIEU!$B$5:$B$10004=$A11),0),0),0))),""))</f>
        <v/>
      </c>
      <c r="AB11" s="20" t="str">
        <f aca="false">IF(OR($A11="",MONTH(($J$2+28-2))&lt;&gt;MONTH($J$2)),"",IFERROR(IF(COUNT(INDEX(NHAP_LIEU!$H$5:$S$10004,MATCH(1,INDEX((NHAP_LIEU!$A$5:$A$10004=($J$2+28-2))*(NHAP_LIEU!$B$5:$B$10004=$A11),0),0),0))=0,"",SUM(INDEX(NHAP_LIEU!$H$5:$S$10004,MATCH(1,INDEX((NHAP_LIEU!$A$5:$A$10004=($J$2+28-2))*(NHAP_LIEU!$B$5:$B$10004=$A11),0),0),0))),""))</f>
        <v/>
      </c>
      <c r="AC11" s="20" t="str">
        <f aca="false">IF(OR($A11="",MONTH(($J$2+29-2))&lt;&gt;MONTH($J$2)),"",IFERROR(IF(COUNT(INDEX(NHAP_LIEU!$H$5:$S$10004,MATCH(1,INDEX((NHAP_LIEU!$A$5:$A$10004=($J$2+29-2))*(NHAP_LIEU!$B$5:$B$10004=$A11),0),0),0))=0,"",SUM(INDEX(NHAP_LIEU!$H$5:$S$10004,MATCH(1,INDEX((NHAP_LIEU!$A$5:$A$10004=($J$2+29-2))*(NHAP_LIEU!$B$5:$B$10004=$A11),0),0),0))),""))</f>
        <v/>
      </c>
      <c r="AD11" s="20" t="str">
        <f aca="false">IF(OR($A11="",MONTH(($J$2+30-2))&lt;&gt;MONTH($J$2)),"",IFERROR(IF(COUNT(INDEX(NHAP_LIEU!$H$5:$S$10004,MATCH(1,INDEX((NHAP_LIEU!$A$5:$A$10004=($J$2+30-2))*(NHAP_LIEU!$B$5:$B$10004=$A11),0),0),0))=0,"",SUM(INDEX(NHAP_LIEU!$H$5:$S$10004,MATCH(1,INDEX((NHAP_LIEU!$A$5:$A$10004=($J$2+30-2))*(NHAP_LIEU!$B$5:$B$10004=$A11),0),0),0))),""))</f>
        <v/>
      </c>
      <c r="AE11" s="20" t="str">
        <f aca="false">IF(OR($A11="",MONTH(($J$2+31-2))&lt;&gt;MONTH($J$2)),"",IFERROR(IF(COUNT(INDEX(NHAP_LIEU!$H$5:$S$10004,MATCH(1,INDEX((NHAP_LIEU!$A$5:$A$10004=($J$2+31-2))*(NHAP_LIEU!$B$5:$B$10004=$A11),0),0),0))=0,"",SUM(INDEX(NHAP_LIEU!$H$5:$S$10004,MATCH(1,INDEX((NHAP_LIEU!$A$5:$A$10004=($J$2+31-2))*(NHAP_LIEU!$B$5:$B$10004=$A11),0),0),0))),""))</f>
        <v/>
      </c>
      <c r="AF11" s="20" t="str">
        <f aca="false">IF(OR($A11="",MONTH(($J$2+32-2))&lt;&gt;MONTH($J$2)),"",IFERROR(IF(COUNT(INDEX(NHAP_LIEU!$H$5:$S$10004,MATCH(1,INDEX((NHAP_LIEU!$A$5:$A$10004=($J$2+32-2))*(NHAP_LIEU!$B$5:$B$10004=$A11),0),0),0))=0,"",SUM(INDEX(NHAP_LIEU!$H$5:$S$10004,MATCH(1,INDEX((NHAP_LIEU!$A$5:$A$10004=($J$2+32-2))*(NHAP_LIEU!$B$5:$B$10004=$A11),0),0),0))),""))</f>
        <v/>
      </c>
      <c r="AG11" s="52" t="n">
        <f aca="false">IF($A11="","",SUM(B11:AF11))</f>
        <v>300</v>
      </c>
      <c r="AH11" s="20" t="n">
        <f aca="false">IF($A11="","",SUMPRODUCT((NHAP_LIEU!$B$5:$B$10004=$A11)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>400</v>
      </c>
      <c r="AI11" s="53" t="n">
        <f aca="false">IF(OR($A11="",N(AH11)=0),"",AG11/AH11)</f>
        <v>0.75</v>
      </c>
    </row>
    <row r="12" customFormat="false" ht="15" hidden="false" customHeight="false" outlineLevel="0" collapsed="false">
      <c r="A12" s="36" t="s">
        <v>273</v>
      </c>
      <c r="B12" s="39" t="n">
        <f aca="false">IF(COUNT(B6:B11)=0,"",SUM(B6:B11))</f>
        <v>4035</v>
      </c>
      <c r="C12" s="39" t="n">
        <f aca="false">IF(COUNT(C6:C11)=0,"",SUM(C6:C11))</f>
        <v>440</v>
      </c>
      <c r="D12" s="39" t="str">
        <f aca="false">IF(COUNT(D6:D11)=0,"",SUM(D6:D11))</f>
        <v/>
      </c>
      <c r="E12" s="39" t="str">
        <f aca="false">IF(COUNT(E6:E11)=0,"",SUM(E6:E11))</f>
        <v/>
      </c>
      <c r="F12" s="39" t="str">
        <f aca="false">IF(COUNT(F6:F11)=0,"",SUM(F6:F11))</f>
        <v/>
      </c>
      <c r="G12" s="39" t="str">
        <f aca="false">IF(COUNT(G6:G11)=0,"",SUM(G6:G11))</f>
        <v/>
      </c>
      <c r="H12" s="39" t="str">
        <f aca="false">IF(COUNT(H6:H11)=0,"",SUM(H6:H11))</f>
        <v/>
      </c>
      <c r="I12" s="39" t="str">
        <f aca="false">IF(COUNT(I6:I11)=0,"",SUM(I6:I11))</f>
        <v/>
      </c>
      <c r="J12" s="39" t="str">
        <f aca="false">IF(COUNT(J6:J11)=0,"",SUM(J6:J11))</f>
        <v/>
      </c>
      <c r="K12" s="39" t="str">
        <f aca="false">IF(COUNT(K6:K11)=0,"",SUM(K6:K11))</f>
        <v/>
      </c>
      <c r="L12" s="39" t="str">
        <f aca="false">IF(COUNT(L6:L11)=0,"",SUM(L6:L11))</f>
        <v/>
      </c>
      <c r="M12" s="39" t="str">
        <f aca="false">IF(COUNT(M6:M11)=0,"",SUM(M6:M11))</f>
        <v/>
      </c>
      <c r="N12" s="39" t="str">
        <f aca="false">IF(COUNT(N6:N11)=0,"",SUM(N6:N11))</f>
        <v/>
      </c>
      <c r="O12" s="39" t="str">
        <f aca="false">IF(COUNT(O6:O11)=0,"",SUM(O6:O11))</f>
        <v/>
      </c>
      <c r="P12" s="39" t="str">
        <f aca="false">IF(COUNT(P6:P11)=0,"",SUM(P6:P11))</f>
        <v/>
      </c>
      <c r="Q12" s="39" t="str">
        <f aca="false">IF(COUNT(Q6:Q11)=0,"",SUM(Q6:Q11))</f>
        <v/>
      </c>
      <c r="R12" s="39" t="str">
        <f aca="false">IF(COUNT(R6:R11)=0,"",SUM(R6:R11))</f>
        <v/>
      </c>
      <c r="S12" s="39" t="str">
        <f aca="false">IF(COUNT(S6:S11)=0,"",SUM(S6:S11))</f>
        <v/>
      </c>
      <c r="T12" s="39" t="str">
        <f aca="false">IF(COUNT(T6:T11)=0,"",SUM(T6:T11))</f>
        <v/>
      </c>
      <c r="U12" s="39" t="str">
        <f aca="false">IF(COUNT(U6:U11)=0,"",SUM(U6:U11))</f>
        <v/>
      </c>
      <c r="V12" s="39" t="str">
        <f aca="false">IF(COUNT(V6:V11)=0,"",SUM(V6:V11))</f>
        <v/>
      </c>
      <c r="W12" s="39" t="str">
        <f aca="false">IF(COUNT(W6:W11)=0,"",SUM(W6:W11))</f>
        <v/>
      </c>
      <c r="X12" s="39" t="str">
        <f aca="false">IF(COUNT(X6:X11)=0,"",SUM(X6:X11))</f>
        <v/>
      </c>
      <c r="Y12" s="39" t="str">
        <f aca="false">IF(COUNT(Y6:Y11)=0,"",SUM(Y6:Y11))</f>
        <v/>
      </c>
      <c r="Z12" s="39" t="str">
        <f aca="false">IF(COUNT(Z6:Z11)=0,"",SUM(Z6:Z11))</f>
        <v/>
      </c>
      <c r="AA12" s="39" t="str">
        <f aca="false">IF(COUNT(AA6:AA11)=0,"",SUM(AA6:AA11))</f>
        <v/>
      </c>
      <c r="AB12" s="39" t="str">
        <f aca="false">IF(COUNT(AB6:AB11)=0,"",SUM(AB6:AB11))</f>
        <v/>
      </c>
      <c r="AC12" s="39" t="str">
        <f aca="false">IF(COUNT(AC6:AC11)=0,"",SUM(AC6:AC11))</f>
        <v/>
      </c>
      <c r="AD12" s="39" t="str">
        <f aca="false">IF(COUNT(AD6:AD11)=0,"",SUM(AD6:AD11))</f>
        <v/>
      </c>
      <c r="AE12" s="39" t="str">
        <f aca="false">IF(COUNT(AE6:AE11)=0,"",SUM(AE6:AE11))</f>
        <v/>
      </c>
      <c r="AF12" s="39" t="str">
        <f aca="false">IF(COUNT(AF6:AF11)=0,"",SUM(AF6:AF11))</f>
        <v/>
      </c>
      <c r="AG12" s="39" t="n">
        <f aca="false">SUM(AG6:AG11)</f>
        <v>4475</v>
      </c>
      <c r="AH12" s="39" t="n">
        <f aca="false">SUM(AH6:AH11)</f>
        <v>6128</v>
      </c>
      <c r="AI12" s="40" t="n">
        <f aca="false">IF(N(AH12)=0,"",AG12/AH12)</f>
        <v>0.730254569190601</v>
      </c>
    </row>
    <row r="13" customFormat="false" ht="15" hidden="false" customHeight="false" outlineLevel="0" collapsed="false">
      <c r="A13" s="36" t="s">
        <v>274</v>
      </c>
      <c r="B13" s="54" t="n">
        <f aca="false">IF(MONTH(($J$2+2-2))&lt;&gt;MONTH($J$2),"",IF(COUNTIF(NHAP_LIEU!$A$5:$A$10004,($J$2+2-2))=0,"",SUMPRODUCT((NHAP_LIEU!$A$5:$A$10004=($J$2+2-2))*ROUND(SUMIF(CAU_HINH_CA!$A$5:$A$50,NHAP_LIEU!$D$5:$D$10004,CAU_HINH_CA!$C$5:$C$50)*NHAP_LIEU!$E$5:$E$10004,0))))</f>
        <v>4328</v>
      </c>
      <c r="C13" s="54" t="n">
        <f aca="false">IF(MONTH(($J$2+3-2))&lt;&gt;MONTH($J$2),"",IF(COUNTIF(NHAP_LIEU!$A$5:$A$10004,($J$2+3-2))=0,"",SUMPRODUCT((NHAP_LIEU!$A$5:$A$10004=($J$2+3-2))*ROUND(SUMIF(CAU_HINH_CA!$A$5:$A$50,NHAP_LIEU!$D$5:$D$10004,CAU_HINH_CA!$C$5:$C$50)*NHAP_LIEU!$E$5:$E$10004,0))))</f>
        <v>1800</v>
      </c>
      <c r="D13" s="54" t="str">
        <f aca="false">IF(MONTH(($J$2+4-2))&lt;&gt;MONTH($J$2),"",IF(COUNTIF(NHAP_LIEU!$A$5:$A$10004,($J$2+4-2))=0,"",SUMPRODUCT((NHAP_LIEU!$A$5:$A$10004=($J$2+4-2))*ROUND(SUMIF(CAU_HINH_CA!$A$5:$A$50,NHAP_LIEU!$D$5:$D$10004,CAU_HINH_CA!$C$5:$C$50)*NHAP_LIEU!$E$5:$E$10004,0))))</f>
        <v/>
      </c>
      <c r="E13" s="54" t="str">
        <f aca="false">IF(MONTH(($J$2+5-2))&lt;&gt;MONTH($J$2),"",IF(COUNTIF(NHAP_LIEU!$A$5:$A$10004,($J$2+5-2))=0,"",SUMPRODUCT((NHAP_LIEU!$A$5:$A$10004=($J$2+5-2))*ROUND(SUMIF(CAU_HINH_CA!$A$5:$A$50,NHAP_LIEU!$D$5:$D$10004,CAU_HINH_CA!$C$5:$C$50)*NHAP_LIEU!$E$5:$E$10004,0))))</f>
        <v/>
      </c>
      <c r="F13" s="54" t="str">
        <f aca="false">IF(MONTH(($J$2+6-2))&lt;&gt;MONTH($J$2),"",IF(COUNTIF(NHAP_LIEU!$A$5:$A$10004,($J$2+6-2))=0,"",SUMPRODUCT((NHAP_LIEU!$A$5:$A$10004=($J$2+6-2))*ROUND(SUMIF(CAU_HINH_CA!$A$5:$A$50,NHAP_LIEU!$D$5:$D$10004,CAU_HINH_CA!$C$5:$C$50)*NHAP_LIEU!$E$5:$E$10004,0))))</f>
        <v/>
      </c>
      <c r="G13" s="54" t="str">
        <f aca="false">IF(MONTH(($J$2+7-2))&lt;&gt;MONTH($J$2),"",IF(COUNTIF(NHAP_LIEU!$A$5:$A$10004,($J$2+7-2))=0,"",SUMPRODUCT((NHAP_LIEU!$A$5:$A$10004=($J$2+7-2))*ROUND(SUMIF(CAU_HINH_CA!$A$5:$A$50,NHAP_LIEU!$D$5:$D$10004,CAU_HINH_CA!$C$5:$C$50)*NHAP_LIEU!$E$5:$E$10004,0))))</f>
        <v/>
      </c>
      <c r="H13" s="54" t="str">
        <f aca="false">IF(MONTH(($J$2+8-2))&lt;&gt;MONTH($J$2),"",IF(COUNTIF(NHAP_LIEU!$A$5:$A$10004,($J$2+8-2))=0,"",SUMPRODUCT((NHAP_LIEU!$A$5:$A$10004=($J$2+8-2))*ROUND(SUMIF(CAU_HINH_CA!$A$5:$A$50,NHAP_LIEU!$D$5:$D$10004,CAU_HINH_CA!$C$5:$C$50)*NHAP_LIEU!$E$5:$E$10004,0))))</f>
        <v/>
      </c>
      <c r="I13" s="54" t="str">
        <f aca="false">IF(MONTH(($J$2+9-2))&lt;&gt;MONTH($J$2),"",IF(COUNTIF(NHAP_LIEU!$A$5:$A$10004,($J$2+9-2))=0,"",SUMPRODUCT((NHAP_LIEU!$A$5:$A$10004=($J$2+9-2))*ROUND(SUMIF(CAU_HINH_CA!$A$5:$A$50,NHAP_LIEU!$D$5:$D$10004,CAU_HINH_CA!$C$5:$C$50)*NHAP_LIEU!$E$5:$E$10004,0))))</f>
        <v/>
      </c>
      <c r="J13" s="54" t="str">
        <f aca="false">IF(MONTH(($J$2+10-2))&lt;&gt;MONTH($J$2),"",IF(COUNTIF(NHAP_LIEU!$A$5:$A$10004,($J$2+10-2))=0,"",SUMPRODUCT((NHAP_LIEU!$A$5:$A$10004=($J$2+10-2))*ROUND(SUMIF(CAU_HINH_CA!$A$5:$A$50,NHAP_LIEU!$D$5:$D$10004,CAU_HINH_CA!$C$5:$C$50)*NHAP_LIEU!$E$5:$E$10004,0))))</f>
        <v/>
      </c>
      <c r="K13" s="54" t="str">
        <f aca="false">IF(MONTH(($J$2+11-2))&lt;&gt;MONTH($J$2),"",IF(COUNTIF(NHAP_LIEU!$A$5:$A$10004,($J$2+11-2))=0,"",SUMPRODUCT((NHAP_LIEU!$A$5:$A$10004=($J$2+11-2))*ROUND(SUMIF(CAU_HINH_CA!$A$5:$A$50,NHAP_LIEU!$D$5:$D$10004,CAU_HINH_CA!$C$5:$C$50)*NHAP_LIEU!$E$5:$E$10004,0))))</f>
        <v/>
      </c>
      <c r="L13" s="54" t="str">
        <f aca="false">IF(MONTH(($J$2+12-2))&lt;&gt;MONTH($J$2),"",IF(COUNTIF(NHAP_LIEU!$A$5:$A$10004,($J$2+12-2))=0,"",SUMPRODUCT((NHAP_LIEU!$A$5:$A$10004=($J$2+12-2))*ROUND(SUMIF(CAU_HINH_CA!$A$5:$A$50,NHAP_LIEU!$D$5:$D$10004,CAU_HINH_CA!$C$5:$C$50)*NHAP_LIEU!$E$5:$E$10004,0))))</f>
        <v/>
      </c>
      <c r="M13" s="54" t="str">
        <f aca="false">IF(MONTH(($J$2+13-2))&lt;&gt;MONTH($J$2),"",IF(COUNTIF(NHAP_LIEU!$A$5:$A$10004,($J$2+13-2))=0,"",SUMPRODUCT((NHAP_LIEU!$A$5:$A$10004=($J$2+13-2))*ROUND(SUMIF(CAU_HINH_CA!$A$5:$A$50,NHAP_LIEU!$D$5:$D$10004,CAU_HINH_CA!$C$5:$C$50)*NHAP_LIEU!$E$5:$E$10004,0))))</f>
        <v/>
      </c>
      <c r="N13" s="54" t="str">
        <f aca="false">IF(MONTH(($J$2+14-2))&lt;&gt;MONTH($J$2),"",IF(COUNTIF(NHAP_LIEU!$A$5:$A$10004,($J$2+14-2))=0,"",SUMPRODUCT((NHAP_LIEU!$A$5:$A$10004=($J$2+14-2))*ROUND(SUMIF(CAU_HINH_CA!$A$5:$A$50,NHAP_LIEU!$D$5:$D$10004,CAU_HINH_CA!$C$5:$C$50)*NHAP_LIEU!$E$5:$E$10004,0))))</f>
        <v/>
      </c>
      <c r="O13" s="54" t="str">
        <f aca="false">IF(MONTH(($J$2+15-2))&lt;&gt;MONTH($J$2),"",IF(COUNTIF(NHAP_LIEU!$A$5:$A$10004,($J$2+15-2))=0,"",SUMPRODUCT((NHAP_LIEU!$A$5:$A$10004=($J$2+15-2))*ROUND(SUMIF(CAU_HINH_CA!$A$5:$A$50,NHAP_LIEU!$D$5:$D$10004,CAU_HINH_CA!$C$5:$C$50)*NHAP_LIEU!$E$5:$E$10004,0))))</f>
        <v/>
      </c>
      <c r="P13" s="54" t="str">
        <f aca="false">IF(MONTH(($J$2+16-2))&lt;&gt;MONTH($J$2),"",IF(COUNTIF(NHAP_LIEU!$A$5:$A$10004,($J$2+16-2))=0,"",SUMPRODUCT((NHAP_LIEU!$A$5:$A$10004=($J$2+16-2))*ROUND(SUMIF(CAU_HINH_CA!$A$5:$A$50,NHAP_LIEU!$D$5:$D$10004,CAU_HINH_CA!$C$5:$C$50)*NHAP_LIEU!$E$5:$E$10004,0))))</f>
        <v/>
      </c>
      <c r="Q13" s="54" t="str">
        <f aca="false">IF(MONTH(($J$2+17-2))&lt;&gt;MONTH($J$2),"",IF(COUNTIF(NHAP_LIEU!$A$5:$A$10004,($J$2+17-2))=0,"",SUMPRODUCT((NHAP_LIEU!$A$5:$A$10004=($J$2+17-2))*ROUND(SUMIF(CAU_HINH_CA!$A$5:$A$50,NHAP_LIEU!$D$5:$D$10004,CAU_HINH_CA!$C$5:$C$50)*NHAP_LIEU!$E$5:$E$10004,0))))</f>
        <v/>
      </c>
      <c r="R13" s="54" t="str">
        <f aca="false">IF(MONTH(($J$2+18-2))&lt;&gt;MONTH($J$2),"",IF(COUNTIF(NHAP_LIEU!$A$5:$A$10004,($J$2+18-2))=0,"",SUMPRODUCT((NHAP_LIEU!$A$5:$A$10004=($J$2+18-2))*ROUND(SUMIF(CAU_HINH_CA!$A$5:$A$50,NHAP_LIEU!$D$5:$D$10004,CAU_HINH_CA!$C$5:$C$50)*NHAP_LIEU!$E$5:$E$10004,0))))</f>
        <v/>
      </c>
      <c r="S13" s="54" t="str">
        <f aca="false">IF(MONTH(($J$2+19-2))&lt;&gt;MONTH($J$2),"",IF(COUNTIF(NHAP_LIEU!$A$5:$A$10004,($J$2+19-2))=0,"",SUMPRODUCT((NHAP_LIEU!$A$5:$A$10004=($J$2+19-2))*ROUND(SUMIF(CAU_HINH_CA!$A$5:$A$50,NHAP_LIEU!$D$5:$D$10004,CAU_HINH_CA!$C$5:$C$50)*NHAP_LIEU!$E$5:$E$10004,0))))</f>
        <v/>
      </c>
      <c r="T13" s="54" t="str">
        <f aca="false">IF(MONTH(($J$2+20-2))&lt;&gt;MONTH($J$2),"",IF(COUNTIF(NHAP_LIEU!$A$5:$A$10004,($J$2+20-2))=0,"",SUMPRODUCT((NHAP_LIEU!$A$5:$A$10004=($J$2+20-2))*ROUND(SUMIF(CAU_HINH_CA!$A$5:$A$50,NHAP_LIEU!$D$5:$D$10004,CAU_HINH_CA!$C$5:$C$50)*NHAP_LIEU!$E$5:$E$10004,0))))</f>
        <v/>
      </c>
      <c r="U13" s="54" t="str">
        <f aca="false">IF(MONTH(($J$2+21-2))&lt;&gt;MONTH($J$2),"",IF(COUNTIF(NHAP_LIEU!$A$5:$A$10004,($J$2+21-2))=0,"",SUMPRODUCT((NHAP_LIEU!$A$5:$A$10004=($J$2+21-2))*ROUND(SUMIF(CAU_HINH_CA!$A$5:$A$50,NHAP_LIEU!$D$5:$D$10004,CAU_HINH_CA!$C$5:$C$50)*NHAP_LIEU!$E$5:$E$10004,0))))</f>
        <v/>
      </c>
      <c r="V13" s="54" t="str">
        <f aca="false">IF(MONTH(($J$2+22-2))&lt;&gt;MONTH($J$2),"",IF(COUNTIF(NHAP_LIEU!$A$5:$A$10004,($J$2+22-2))=0,"",SUMPRODUCT((NHAP_LIEU!$A$5:$A$10004=($J$2+22-2))*ROUND(SUMIF(CAU_HINH_CA!$A$5:$A$50,NHAP_LIEU!$D$5:$D$10004,CAU_HINH_CA!$C$5:$C$50)*NHAP_LIEU!$E$5:$E$10004,0))))</f>
        <v/>
      </c>
      <c r="W13" s="54" t="str">
        <f aca="false">IF(MONTH(($J$2+23-2))&lt;&gt;MONTH($J$2),"",IF(COUNTIF(NHAP_LIEU!$A$5:$A$10004,($J$2+23-2))=0,"",SUMPRODUCT((NHAP_LIEU!$A$5:$A$10004=($J$2+23-2))*ROUND(SUMIF(CAU_HINH_CA!$A$5:$A$50,NHAP_LIEU!$D$5:$D$10004,CAU_HINH_CA!$C$5:$C$50)*NHAP_LIEU!$E$5:$E$10004,0))))</f>
        <v/>
      </c>
      <c r="X13" s="54" t="str">
        <f aca="false">IF(MONTH(($J$2+24-2))&lt;&gt;MONTH($J$2),"",IF(COUNTIF(NHAP_LIEU!$A$5:$A$10004,($J$2+24-2))=0,"",SUMPRODUCT((NHAP_LIEU!$A$5:$A$10004=($J$2+24-2))*ROUND(SUMIF(CAU_HINH_CA!$A$5:$A$50,NHAP_LIEU!$D$5:$D$10004,CAU_HINH_CA!$C$5:$C$50)*NHAP_LIEU!$E$5:$E$10004,0))))</f>
        <v/>
      </c>
      <c r="Y13" s="54" t="str">
        <f aca="false">IF(MONTH(($J$2+25-2))&lt;&gt;MONTH($J$2),"",IF(COUNTIF(NHAP_LIEU!$A$5:$A$10004,($J$2+25-2))=0,"",SUMPRODUCT((NHAP_LIEU!$A$5:$A$10004=($J$2+25-2))*ROUND(SUMIF(CAU_HINH_CA!$A$5:$A$50,NHAP_LIEU!$D$5:$D$10004,CAU_HINH_CA!$C$5:$C$50)*NHAP_LIEU!$E$5:$E$10004,0))))</f>
        <v/>
      </c>
      <c r="Z13" s="54" t="str">
        <f aca="false">IF(MONTH(($J$2+26-2))&lt;&gt;MONTH($J$2),"",IF(COUNTIF(NHAP_LIEU!$A$5:$A$10004,($J$2+26-2))=0,"",SUMPRODUCT((NHAP_LIEU!$A$5:$A$10004=($J$2+26-2))*ROUND(SUMIF(CAU_HINH_CA!$A$5:$A$50,NHAP_LIEU!$D$5:$D$10004,CAU_HINH_CA!$C$5:$C$50)*NHAP_LIEU!$E$5:$E$10004,0))))</f>
        <v/>
      </c>
      <c r="AA13" s="54" t="str">
        <f aca="false">IF(MONTH(($J$2+27-2))&lt;&gt;MONTH($J$2),"",IF(COUNTIF(NHAP_LIEU!$A$5:$A$10004,($J$2+27-2))=0,"",SUMPRODUCT((NHAP_LIEU!$A$5:$A$10004=($J$2+27-2))*ROUND(SUMIF(CAU_HINH_CA!$A$5:$A$50,NHAP_LIEU!$D$5:$D$10004,CAU_HINH_CA!$C$5:$C$50)*NHAP_LIEU!$E$5:$E$10004,0))))</f>
        <v/>
      </c>
      <c r="AB13" s="54" t="str">
        <f aca="false">IF(MONTH(($J$2+28-2))&lt;&gt;MONTH($J$2),"",IF(COUNTIF(NHAP_LIEU!$A$5:$A$10004,($J$2+28-2))=0,"",SUMPRODUCT((NHAP_LIEU!$A$5:$A$10004=($J$2+28-2))*ROUND(SUMIF(CAU_HINH_CA!$A$5:$A$50,NHAP_LIEU!$D$5:$D$10004,CAU_HINH_CA!$C$5:$C$50)*NHAP_LIEU!$E$5:$E$10004,0))))</f>
        <v/>
      </c>
      <c r="AC13" s="54" t="str">
        <f aca="false">IF(MONTH(($J$2+29-2))&lt;&gt;MONTH($J$2),"",IF(COUNTIF(NHAP_LIEU!$A$5:$A$10004,($J$2+29-2))=0,"",SUMPRODUCT((NHAP_LIEU!$A$5:$A$10004=($J$2+29-2))*ROUND(SUMIF(CAU_HINH_CA!$A$5:$A$50,NHAP_LIEU!$D$5:$D$10004,CAU_HINH_CA!$C$5:$C$50)*NHAP_LIEU!$E$5:$E$10004,0))))</f>
        <v/>
      </c>
      <c r="AD13" s="54" t="str">
        <f aca="false">IF(MONTH(($J$2+30-2))&lt;&gt;MONTH($J$2),"",IF(COUNTIF(NHAP_LIEU!$A$5:$A$10004,($J$2+30-2))=0,"",SUMPRODUCT((NHAP_LIEU!$A$5:$A$10004=($J$2+30-2))*ROUND(SUMIF(CAU_HINH_CA!$A$5:$A$50,NHAP_LIEU!$D$5:$D$10004,CAU_HINH_CA!$C$5:$C$50)*NHAP_LIEU!$E$5:$E$10004,0))))</f>
        <v/>
      </c>
      <c r="AE13" s="54" t="str">
        <f aca="false">IF(MONTH(($J$2+31-2))&lt;&gt;MONTH($J$2),"",IF(COUNTIF(NHAP_LIEU!$A$5:$A$10004,($J$2+31-2))=0,"",SUMPRODUCT((NHAP_LIEU!$A$5:$A$10004=($J$2+31-2))*ROUND(SUMIF(CAU_HINH_CA!$A$5:$A$50,NHAP_LIEU!$D$5:$D$10004,CAU_HINH_CA!$C$5:$C$50)*NHAP_LIEU!$E$5:$E$10004,0))))</f>
        <v/>
      </c>
      <c r="AF13" s="54" t="str">
        <f aca="false">IF(MONTH(($J$2+32-2))&lt;&gt;MONTH($J$2),"",IF(COUNTIF(NHAP_LIEU!$A$5:$A$10004,($J$2+32-2))=0,"",SUMPRODUCT((NHAP_LIEU!$A$5:$A$10004=($J$2+32-2))*ROUND(SUMIF(CAU_HINH_CA!$A$5:$A$50,NHAP_LIEU!$D$5:$D$10004,CAU_HINH_CA!$C$5:$C$50)*NHAP_LIEU!$E$5:$E$10004,0))))</f>
        <v/>
      </c>
    </row>
    <row r="15" customFormat="false" ht="15" hidden="false" customHeight="false" outlineLevel="0" collapsed="false">
      <c r="A15" s="50" t="s">
        <v>275</v>
      </c>
    </row>
    <row r="16" customFormat="false" ht="15" hidden="false" customHeight="false" outlineLevel="0" collapsed="false">
      <c r="A16" s="9" t="s">
        <v>157</v>
      </c>
      <c r="B16" s="9" t="n">
        <f aca="false">IF(MONTH($J$2+1-1)=MONTH($J$2),1,"")</f>
        <v>1</v>
      </c>
      <c r="C16" s="9" t="n">
        <f aca="false">IF(MONTH($J$2+2-1)=MONTH($J$2),2,"")</f>
        <v>2</v>
      </c>
      <c r="D16" s="9" t="n">
        <f aca="false">IF(MONTH($J$2+3-1)=MONTH($J$2),3,"")</f>
        <v>3</v>
      </c>
      <c r="E16" s="9" t="n">
        <f aca="false">IF(MONTH($J$2+4-1)=MONTH($J$2),4,"")</f>
        <v>4</v>
      </c>
      <c r="F16" s="9" t="n">
        <f aca="false">IF(MONTH($J$2+5-1)=MONTH($J$2),5,"")</f>
        <v>5</v>
      </c>
      <c r="G16" s="9" t="n">
        <f aca="false">IF(MONTH($J$2+6-1)=MONTH($J$2),6,"")</f>
        <v>6</v>
      </c>
      <c r="H16" s="9" t="n">
        <f aca="false">IF(MONTH($J$2+7-1)=MONTH($J$2),7,"")</f>
        <v>7</v>
      </c>
      <c r="I16" s="9" t="n">
        <f aca="false">IF(MONTH($J$2+8-1)=MONTH($J$2),8,"")</f>
        <v>8</v>
      </c>
      <c r="J16" s="9" t="n">
        <f aca="false">IF(MONTH($J$2+9-1)=MONTH($J$2),9,"")</f>
        <v>9</v>
      </c>
      <c r="K16" s="9" t="n">
        <f aca="false">IF(MONTH($J$2+10-1)=MONTH($J$2),10,"")</f>
        <v>10</v>
      </c>
      <c r="L16" s="9" t="n">
        <f aca="false">IF(MONTH($J$2+11-1)=MONTH($J$2),11,"")</f>
        <v>11</v>
      </c>
      <c r="M16" s="9" t="n">
        <f aca="false">IF(MONTH($J$2+12-1)=MONTH($J$2),12,"")</f>
        <v>12</v>
      </c>
      <c r="N16" s="9" t="n">
        <f aca="false">IF(MONTH($J$2+13-1)=MONTH($J$2),13,"")</f>
        <v>13</v>
      </c>
      <c r="O16" s="9" t="n">
        <f aca="false">IF(MONTH($J$2+14-1)=MONTH($J$2),14,"")</f>
        <v>14</v>
      </c>
      <c r="P16" s="9" t="n">
        <f aca="false">IF(MONTH($J$2+15-1)=MONTH($J$2),15,"")</f>
        <v>15</v>
      </c>
      <c r="Q16" s="9" t="n">
        <f aca="false">IF(MONTH($J$2+16-1)=MONTH($J$2),16,"")</f>
        <v>16</v>
      </c>
      <c r="R16" s="9" t="n">
        <f aca="false">IF(MONTH($J$2+17-1)=MONTH($J$2),17,"")</f>
        <v>17</v>
      </c>
      <c r="S16" s="9" t="n">
        <f aca="false">IF(MONTH($J$2+18-1)=MONTH($J$2),18,"")</f>
        <v>18</v>
      </c>
      <c r="T16" s="9" t="n">
        <f aca="false">IF(MONTH($J$2+19-1)=MONTH($J$2),19,"")</f>
        <v>19</v>
      </c>
      <c r="U16" s="9" t="n">
        <f aca="false">IF(MONTH($J$2+20-1)=MONTH($J$2),20,"")</f>
        <v>20</v>
      </c>
      <c r="V16" s="9" t="n">
        <f aca="false">IF(MONTH($J$2+21-1)=MONTH($J$2),21,"")</f>
        <v>21</v>
      </c>
      <c r="W16" s="9" t="n">
        <f aca="false">IF(MONTH($J$2+22-1)=MONTH($J$2),22,"")</f>
        <v>22</v>
      </c>
      <c r="X16" s="9" t="n">
        <f aca="false">IF(MONTH($J$2+23-1)=MONTH($J$2),23,"")</f>
        <v>23</v>
      </c>
      <c r="Y16" s="9" t="n">
        <f aca="false">IF(MONTH($J$2+24-1)=MONTH($J$2),24,"")</f>
        <v>24</v>
      </c>
      <c r="Z16" s="9" t="n">
        <f aca="false">IF(MONTH($J$2+25-1)=MONTH($J$2),25,"")</f>
        <v>25</v>
      </c>
      <c r="AA16" s="9" t="n">
        <f aca="false">IF(MONTH($J$2+26-1)=MONTH($J$2),26,"")</f>
        <v>26</v>
      </c>
      <c r="AB16" s="9" t="n">
        <f aca="false">IF(MONTH($J$2+27-1)=MONTH($J$2),27,"")</f>
        <v>27</v>
      </c>
      <c r="AC16" s="9" t="n">
        <f aca="false">IF(MONTH($J$2+28-1)=MONTH($J$2),28,"")</f>
        <v>28</v>
      </c>
      <c r="AD16" s="9" t="n">
        <f aca="false">IF(MONTH($J$2+29-1)=MONTH($J$2),29,"")</f>
        <v>29</v>
      </c>
      <c r="AE16" s="9" t="n">
        <f aca="false">IF(MONTH($J$2+30-1)=MONTH($J$2),30,"")</f>
        <v>30</v>
      </c>
      <c r="AF16" s="9" t="n">
        <f aca="false">IF(MONTH($J$2+31-1)=MONTH($J$2),31,"")</f>
        <v>31</v>
      </c>
    </row>
    <row r="17" customFormat="false" ht="15" hidden="false" customHeight="false" outlineLevel="0" collapsed="false">
      <c r="A17" s="51" t="str">
        <f aca="false">A6</f>
        <v>Chuyền 1</v>
      </c>
      <c r="B17" s="55" t="n">
        <f aca="false">IF(B6="","",IFERROR(B6/ROUND(INDEX(CAU_HINH_CA!$C$5:$C$50,MATCH(INDEX(NHAP_LIEU!$D$5:$D$10004,MATCH(1,INDEX((NHAP_LIEU!$A$5:$A$10004=($J$2+2-2))*(NHAP_LIEU!$B$5:$B$10004=$A17),0),0)),CAU_HINH_CA!$A$5:$A$50,0))*INDEX(NHAP_LIEU!$E$5:$E$10004,MATCH(1,INDEX((NHAP_LIEU!$A$5:$A$10004=($J$2+2-2))*(NHAP_LIEU!$B$5:$B$10004=$A17),0),0)),0),""))</f>
        <v>1</v>
      </c>
      <c r="C17" s="55" t="n">
        <f aca="false">IF(C6="","",IFERROR(C6/ROUND(INDEX(CAU_HINH_CA!$C$5:$C$50,MATCH(INDEX(NHAP_LIEU!$D$5:$D$10004,MATCH(1,INDEX((NHAP_LIEU!$A$5:$A$10004=($J$2+3-2))*(NHAP_LIEU!$B$5:$B$10004=$A17),0),0)),CAU_HINH_CA!$A$5:$A$50,0))*INDEX(NHAP_LIEU!$E$5:$E$10004,MATCH(1,INDEX((NHAP_LIEU!$A$5:$A$10004=($J$2+3-2))*(NHAP_LIEU!$B$5:$B$10004=$A17),0),0)),0),""))</f>
        <v>0.25</v>
      </c>
      <c r="D17" s="55" t="str">
        <f aca="false">IF(D6="","",IFERROR(D6/ROUND(INDEX(CAU_HINH_CA!$C$5:$C$50,MATCH(INDEX(NHAP_LIEU!$D$5:$D$10004,MATCH(1,INDEX((NHAP_LIEU!$A$5:$A$10004=($J$2+4-2))*(NHAP_LIEU!$B$5:$B$10004=$A17),0),0)),CAU_HINH_CA!$A$5:$A$50,0))*INDEX(NHAP_LIEU!$E$5:$E$10004,MATCH(1,INDEX((NHAP_LIEU!$A$5:$A$10004=($J$2+4-2))*(NHAP_LIEU!$B$5:$B$10004=$A17),0),0)),0),""))</f>
        <v/>
      </c>
      <c r="E17" s="55" t="str">
        <f aca="false">IF(E6="","",IFERROR(E6/ROUND(INDEX(CAU_HINH_CA!$C$5:$C$50,MATCH(INDEX(NHAP_LIEU!$D$5:$D$10004,MATCH(1,INDEX((NHAP_LIEU!$A$5:$A$10004=($J$2+5-2))*(NHAP_LIEU!$B$5:$B$10004=$A17),0),0)),CAU_HINH_CA!$A$5:$A$50,0))*INDEX(NHAP_LIEU!$E$5:$E$10004,MATCH(1,INDEX((NHAP_LIEU!$A$5:$A$10004=($J$2+5-2))*(NHAP_LIEU!$B$5:$B$10004=$A17),0),0)),0),""))</f>
        <v/>
      </c>
      <c r="F17" s="55" t="str">
        <f aca="false">IF(F6="","",IFERROR(F6/ROUND(INDEX(CAU_HINH_CA!$C$5:$C$50,MATCH(INDEX(NHAP_LIEU!$D$5:$D$10004,MATCH(1,INDEX((NHAP_LIEU!$A$5:$A$10004=($J$2+6-2))*(NHAP_LIEU!$B$5:$B$10004=$A17),0),0)),CAU_HINH_CA!$A$5:$A$50,0))*INDEX(NHAP_LIEU!$E$5:$E$10004,MATCH(1,INDEX((NHAP_LIEU!$A$5:$A$10004=($J$2+6-2))*(NHAP_LIEU!$B$5:$B$10004=$A17),0),0)),0),""))</f>
        <v/>
      </c>
      <c r="G17" s="55" t="str">
        <f aca="false">IF(G6="","",IFERROR(G6/ROUND(INDEX(CAU_HINH_CA!$C$5:$C$50,MATCH(INDEX(NHAP_LIEU!$D$5:$D$10004,MATCH(1,INDEX((NHAP_LIEU!$A$5:$A$10004=($J$2+7-2))*(NHAP_LIEU!$B$5:$B$10004=$A17),0),0)),CAU_HINH_CA!$A$5:$A$50,0))*INDEX(NHAP_LIEU!$E$5:$E$10004,MATCH(1,INDEX((NHAP_LIEU!$A$5:$A$10004=($J$2+7-2))*(NHAP_LIEU!$B$5:$B$10004=$A17),0),0)),0),""))</f>
        <v/>
      </c>
      <c r="H17" s="55" t="str">
        <f aca="false">IF(H6="","",IFERROR(H6/ROUND(INDEX(CAU_HINH_CA!$C$5:$C$50,MATCH(INDEX(NHAP_LIEU!$D$5:$D$10004,MATCH(1,INDEX((NHAP_LIEU!$A$5:$A$10004=($J$2+8-2))*(NHAP_LIEU!$B$5:$B$10004=$A17),0),0)),CAU_HINH_CA!$A$5:$A$50,0))*INDEX(NHAP_LIEU!$E$5:$E$10004,MATCH(1,INDEX((NHAP_LIEU!$A$5:$A$10004=($J$2+8-2))*(NHAP_LIEU!$B$5:$B$10004=$A17),0),0)),0),""))</f>
        <v/>
      </c>
      <c r="I17" s="55" t="str">
        <f aca="false">IF(I6="","",IFERROR(I6/ROUND(INDEX(CAU_HINH_CA!$C$5:$C$50,MATCH(INDEX(NHAP_LIEU!$D$5:$D$10004,MATCH(1,INDEX((NHAP_LIEU!$A$5:$A$10004=($J$2+9-2))*(NHAP_LIEU!$B$5:$B$10004=$A17),0),0)),CAU_HINH_CA!$A$5:$A$50,0))*INDEX(NHAP_LIEU!$E$5:$E$10004,MATCH(1,INDEX((NHAP_LIEU!$A$5:$A$10004=($J$2+9-2))*(NHAP_LIEU!$B$5:$B$10004=$A17),0),0)),0),""))</f>
        <v/>
      </c>
      <c r="J17" s="55" t="str">
        <f aca="false">IF(J6="","",IFERROR(J6/ROUND(INDEX(CAU_HINH_CA!$C$5:$C$50,MATCH(INDEX(NHAP_LIEU!$D$5:$D$10004,MATCH(1,INDEX((NHAP_LIEU!$A$5:$A$10004=($J$2+10-2))*(NHAP_LIEU!$B$5:$B$10004=$A17),0),0)),CAU_HINH_CA!$A$5:$A$50,0))*INDEX(NHAP_LIEU!$E$5:$E$10004,MATCH(1,INDEX((NHAP_LIEU!$A$5:$A$10004=($J$2+10-2))*(NHAP_LIEU!$B$5:$B$10004=$A17),0),0)),0),""))</f>
        <v/>
      </c>
      <c r="K17" s="55" t="str">
        <f aca="false">IF(K6="","",IFERROR(K6/ROUND(INDEX(CAU_HINH_CA!$C$5:$C$50,MATCH(INDEX(NHAP_LIEU!$D$5:$D$10004,MATCH(1,INDEX((NHAP_LIEU!$A$5:$A$10004=($J$2+11-2))*(NHAP_LIEU!$B$5:$B$10004=$A17),0),0)),CAU_HINH_CA!$A$5:$A$50,0))*INDEX(NHAP_LIEU!$E$5:$E$10004,MATCH(1,INDEX((NHAP_LIEU!$A$5:$A$10004=($J$2+11-2))*(NHAP_LIEU!$B$5:$B$10004=$A17),0),0)),0),""))</f>
        <v/>
      </c>
      <c r="L17" s="55" t="str">
        <f aca="false">IF(L6="","",IFERROR(L6/ROUND(INDEX(CAU_HINH_CA!$C$5:$C$50,MATCH(INDEX(NHAP_LIEU!$D$5:$D$10004,MATCH(1,INDEX((NHAP_LIEU!$A$5:$A$10004=($J$2+12-2))*(NHAP_LIEU!$B$5:$B$10004=$A17),0),0)),CAU_HINH_CA!$A$5:$A$50,0))*INDEX(NHAP_LIEU!$E$5:$E$10004,MATCH(1,INDEX((NHAP_LIEU!$A$5:$A$10004=($J$2+12-2))*(NHAP_LIEU!$B$5:$B$10004=$A17),0),0)),0),""))</f>
        <v/>
      </c>
      <c r="M17" s="55" t="str">
        <f aca="false">IF(M6="","",IFERROR(M6/ROUND(INDEX(CAU_HINH_CA!$C$5:$C$50,MATCH(INDEX(NHAP_LIEU!$D$5:$D$10004,MATCH(1,INDEX((NHAP_LIEU!$A$5:$A$10004=($J$2+13-2))*(NHAP_LIEU!$B$5:$B$10004=$A17),0),0)),CAU_HINH_CA!$A$5:$A$50,0))*INDEX(NHAP_LIEU!$E$5:$E$10004,MATCH(1,INDEX((NHAP_LIEU!$A$5:$A$10004=($J$2+13-2))*(NHAP_LIEU!$B$5:$B$10004=$A17),0),0)),0),""))</f>
        <v/>
      </c>
      <c r="N17" s="55" t="str">
        <f aca="false">IF(N6="","",IFERROR(N6/ROUND(INDEX(CAU_HINH_CA!$C$5:$C$50,MATCH(INDEX(NHAP_LIEU!$D$5:$D$10004,MATCH(1,INDEX((NHAP_LIEU!$A$5:$A$10004=($J$2+14-2))*(NHAP_LIEU!$B$5:$B$10004=$A17),0),0)),CAU_HINH_CA!$A$5:$A$50,0))*INDEX(NHAP_LIEU!$E$5:$E$10004,MATCH(1,INDEX((NHAP_LIEU!$A$5:$A$10004=($J$2+14-2))*(NHAP_LIEU!$B$5:$B$10004=$A17),0),0)),0),""))</f>
        <v/>
      </c>
      <c r="O17" s="55" t="str">
        <f aca="false">IF(O6="","",IFERROR(O6/ROUND(INDEX(CAU_HINH_CA!$C$5:$C$50,MATCH(INDEX(NHAP_LIEU!$D$5:$D$10004,MATCH(1,INDEX((NHAP_LIEU!$A$5:$A$10004=($J$2+15-2))*(NHAP_LIEU!$B$5:$B$10004=$A17),0),0)),CAU_HINH_CA!$A$5:$A$50,0))*INDEX(NHAP_LIEU!$E$5:$E$10004,MATCH(1,INDEX((NHAP_LIEU!$A$5:$A$10004=($J$2+15-2))*(NHAP_LIEU!$B$5:$B$10004=$A17),0),0)),0),""))</f>
        <v/>
      </c>
      <c r="P17" s="55" t="str">
        <f aca="false">IF(P6="","",IFERROR(P6/ROUND(INDEX(CAU_HINH_CA!$C$5:$C$50,MATCH(INDEX(NHAP_LIEU!$D$5:$D$10004,MATCH(1,INDEX((NHAP_LIEU!$A$5:$A$10004=($J$2+16-2))*(NHAP_LIEU!$B$5:$B$10004=$A17),0),0)),CAU_HINH_CA!$A$5:$A$50,0))*INDEX(NHAP_LIEU!$E$5:$E$10004,MATCH(1,INDEX((NHAP_LIEU!$A$5:$A$10004=($J$2+16-2))*(NHAP_LIEU!$B$5:$B$10004=$A17),0),0)),0),""))</f>
        <v/>
      </c>
      <c r="Q17" s="55" t="str">
        <f aca="false">IF(Q6="","",IFERROR(Q6/ROUND(INDEX(CAU_HINH_CA!$C$5:$C$50,MATCH(INDEX(NHAP_LIEU!$D$5:$D$10004,MATCH(1,INDEX((NHAP_LIEU!$A$5:$A$10004=($J$2+17-2))*(NHAP_LIEU!$B$5:$B$10004=$A17),0),0)),CAU_HINH_CA!$A$5:$A$50,0))*INDEX(NHAP_LIEU!$E$5:$E$10004,MATCH(1,INDEX((NHAP_LIEU!$A$5:$A$10004=($J$2+17-2))*(NHAP_LIEU!$B$5:$B$10004=$A17),0),0)),0),""))</f>
        <v/>
      </c>
      <c r="R17" s="55" t="str">
        <f aca="false">IF(R6="","",IFERROR(R6/ROUND(INDEX(CAU_HINH_CA!$C$5:$C$50,MATCH(INDEX(NHAP_LIEU!$D$5:$D$10004,MATCH(1,INDEX((NHAP_LIEU!$A$5:$A$10004=($J$2+18-2))*(NHAP_LIEU!$B$5:$B$10004=$A17),0),0)),CAU_HINH_CA!$A$5:$A$50,0))*INDEX(NHAP_LIEU!$E$5:$E$10004,MATCH(1,INDEX((NHAP_LIEU!$A$5:$A$10004=($J$2+18-2))*(NHAP_LIEU!$B$5:$B$10004=$A17),0),0)),0),""))</f>
        <v/>
      </c>
      <c r="S17" s="55" t="str">
        <f aca="false">IF(S6="","",IFERROR(S6/ROUND(INDEX(CAU_HINH_CA!$C$5:$C$50,MATCH(INDEX(NHAP_LIEU!$D$5:$D$10004,MATCH(1,INDEX((NHAP_LIEU!$A$5:$A$10004=($J$2+19-2))*(NHAP_LIEU!$B$5:$B$10004=$A17),0),0)),CAU_HINH_CA!$A$5:$A$50,0))*INDEX(NHAP_LIEU!$E$5:$E$10004,MATCH(1,INDEX((NHAP_LIEU!$A$5:$A$10004=($J$2+19-2))*(NHAP_LIEU!$B$5:$B$10004=$A17),0),0)),0),""))</f>
        <v/>
      </c>
      <c r="T17" s="55" t="str">
        <f aca="false">IF(T6="","",IFERROR(T6/ROUND(INDEX(CAU_HINH_CA!$C$5:$C$50,MATCH(INDEX(NHAP_LIEU!$D$5:$D$10004,MATCH(1,INDEX((NHAP_LIEU!$A$5:$A$10004=($J$2+20-2))*(NHAP_LIEU!$B$5:$B$10004=$A17),0),0)),CAU_HINH_CA!$A$5:$A$50,0))*INDEX(NHAP_LIEU!$E$5:$E$10004,MATCH(1,INDEX((NHAP_LIEU!$A$5:$A$10004=($J$2+20-2))*(NHAP_LIEU!$B$5:$B$10004=$A17),0),0)),0),""))</f>
        <v/>
      </c>
      <c r="U17" s="55" t="str">
        <f aca="false">IF(U6="","",IFERROR(U6/ROUND(INDEX(CAU_HINH_CA!$C$5:$C$50,MATCH(INDEX(NHAP_LIEU!$D$5:$D$10004,MATCH(1,INDEX((NHAP_LIEU!$A$5:$A$10004=($J$2+21-2))*(NHAP_LIEU!$B$5:$B$10004=$A17),0),0)),CAU_HINH_CA!$A$5:$A$50,0))*INDEX(NHAP_LIEU!$E$5:$E$10004,MATCH(1,INDEX((NHAP_LIEU!$A$5:$A$10004=($J$2+21-2))*(NHAP_LIEU!$B$5:$B$10004=$A17),0),0)),0),""))</f>
        <v/>
      </c>
      <c r="V17" s="55" t="str">
        <f aca="false">IF(V6="","",IFERROR(V6/ROUND(INDEX(CAU_HINH_CA!$C$5:$C$50,MATCH(INDEX(NHAP_LIEU!$D$5:$D$10004,MATCH(1,INDEX((NHAP_LIEU!$A$5:$A$10004=($J$2+22-2))*(NHAP_LIEU!$B$5:$B$10004=$A17),0),0)),CAU_HINH_CA!$A$5:$A$50,0))*INDEX(NHAP_LIEU!$E$5:$E$10004,MATCH(1,INDEX((NHAP_LIEU!$A$5:$A$10004=($J$2+22-2))*(NHAP_LIEU!$B$5:$B$10004=$A17),0),0)),0),""))</f>
        <v/>
      </c>
      <c r="W17" s="55" t="str">
        <f aca="false">IF(W6="","",IFERROR(W6/ROUND(INDEX(CAU_HINH_CA!$C$5:$C$50,MATCH(INDEX(NHAP_LIEU!$D$5:$D$10004,MATCH(1,INDEX((NHAP_LIEU!$A$5:$A$10004=($J$2+23-2))*(NHAP_LIEU!$B$5:$B$10004=$A17),0),0)),CAU_HINH_CA!$A$5:$A$50,0))*INDEX(NHAP_LIEU!$E$5:$E$10004,MATCH(1,INDEX((NHAP_LIEU!$A$5:$A$10004=($J$2+23-2))*(NHAP_LIEU!$B$5:$B$10004=$A17),0),0)),0),""))</f>
        <v/>
      </c>
      <c r="X17" s="55" t="str">
        <f aca="false">IF(X6="","",IFERROR(X6/ROUND(INDEX(CAU_HINH_CA!$C$5:$C$50,MATCH(INDEX(NHAP_LIEU!$D$5:$D$10004,MATCH(1,INDEX((NHAP_LIEU!$A$5:$A$10004=($J$2+24-2))*(NHAP_LIEU!$B$5:$B$10004=$A17),0),0)),CAU_HINH_CA!$A$5:$A$50,0))*INDEX(NHAP_LIEU!$E$5:$E$10004,MATCH(1,INDEX((NHAP_LIEU!$A$5:$A$10004=($J$2+24-2))*(NHAP_LIEU!$B$5:$B$10004=$A17),0),0)),0),""))</f>
        <v/>
      </c>
      <c r="Y17" s="55" t="str">
        <f aca="false">IF(Y6="","",IFERROR(Y6/ROUND(INDEX(CAU_HINH_CA!$C$5:$C$50,MATCH(INDEX(NHAP_LIEU!$D$5:$D$10004,MATCH(1,INDEX((NHAP_LIEU!$A$5:$A$10004=($J$2+25-2))*(NHAP_LIEU!$B$5:$B$10004=$A17),0),0)),CAU_HINH_CA!$A$5:$A$50,0))*INDEX(NHAP_LIEU!$E$5:$E$10004,MATCH(1,INDEX((NHAP_LIEU!$A$5:$A$10004=($J$2+25-2))*(NHAP_LIEU!$B$5:$B$10004=$A17),0),0)),0),""))</f>
        <v/>
      </c>
      <c r="Z17" s="55" t="str">
        <f aca="false">IF(Z6="","",IFERROR(Z6/ROUND(INDEX(CAU_HINH_CA!$C$5:$C$50,MATCH(INDEX(NHAP_LIEU!$D$5:$D$10004,MATCH(1,INDEX((NHAP_LIEU!$A$5:$A$10004=($J$2+26-2))*(NHAP_LIEU!$B$5:$B$10004=$A17),0),0)),CAU_HINH_CA!$A$5:$A$50,0))*INDEX(NHAP_LIEU!$E$5:$E$10004,MATCH(1,INDEX((NHAP_LIEU!$A$5:$A$10004=($J$2+26-2))*(NHAP_LIEU!$B$5:$B$10004=$A17),0),0)),0),""))</f>
        <v/>
      </c>
      <c r="AA17" s="55" t="str">
        <f aca="false">IF(AA6="","",IFERROR(AA6/ROUND(INDEX(CAU_HINH_CA!$C$5:$C$50,MATCH(INDEX(NHAP_LIEU!$D$5:$D$10004,MATCH(1,INDEX((NHAP_LIEU!$A$5:$A$10004=($J$2+27-2))*(NHAP_LIEU!$B$5:$B$10004=$A17),0),0)),CAU_HINH_CA!$A$5:$A$50,0))*INDEX(NHAP_LIEU!$E$5:$E$10004,MATCH(1,INDEX((NHAP_LIEU!$A$5:$A$10004=($J$2+27-2))*(NHAP_LIEU!$B$5:$B$10004=$A17),0),0)),0),""))</f>
        <v/>
      </c>
      <c r="AB17" s="55" t="str">
        <f aca="false">IF(AB6="","",IFERROR(AB6/ROUND(INDEX(CAU_HINH_CA!$C$5:$C$50,MATCH(INDEX(NHAP_LIEU!$D$5:$D$10004,MATCH(1,INDEX((NHAP_LIEU!$A$5:$A$10004=($J$2+28-2))*(NHAP_LIEU!$B$5:$B$10004=$A17),0),0)),CAU_HINH_CA!$A$5:$A$50,0))*INDEX(NHAP_LIEU!$E$5:$E$10004,MATCH(1,INDEX((NHAP_LIEU!$A$5:$A$10004=($J$2+28-2))*(NHAP_LIEU!$B$5:$B$10004=$A17),0),0)),0),""))</f>
        <v/>
      </c>
      <c r="AC17" s="55" t="str">
        <f aca="false">IF(AC6="","",IFERROR(AC6/ROUND(INDEX(CAU_HINH_CA!$C$5:$C$50,MATCH(INDEX(NHAP_LIEU!$D$5:$D$10004,MATCH(1,INDEX((NHAP_LIEU!$A$5:$A$10004=($J$2+29-2))*(NHAP_LIEU!$B$5:$B$10004=$A17),0),0)),CAU_HINH_CA!$A$5:$A$50,0))*INDEX(NHAP_LIEU!$E$5:$E$10004,MATCH(1,INDEX((NHAP_LIEU!$A$5:$A$10004=($J$2+29-2))*(NHAP_LIEU!$B$5:$B$10004=$A17),0),0)),0),""))</f>
        <v/>
      </c>
      <c r="AD17" s="55" t="str">
        <f aca="false">IF(AD6="","",IFERROR(AD6/ROUND(INDEX(CAU_HINH_CA!$C$5:$C$50,MATCH(INDEX(NHAP_LIEU!$D$5:$D$10004,MATCH(1,INDEX((NHAP_LIEU!$A$5:$A$10004=($J$2+30-2))*(NHAP_LIEU!$B$5:$B$10004=$A17),0),0)),CAU_HINH_CA!$A$5:$A$50,0))*INDEX(NHAP_LIEU!$E$5:$E$10004,MATCH(1,INDEX((NHAP_LIEU!$A$5:$A$10004=($J$2+30-2))*(NHAP_LIEU!$B$5:$B$10004=$A17),0),0)),0),""))</f>
        <v/>
      </c>
      <c r="AE17" s="55" t="str">
        <f aca="false">IF(AE6="","",IFERROR(AE6/ROUND(INDEX(CAU_HINH_CA!$C$5:$C$50,MATCH(INDEX(NHAP_LIEU!$D$5:$D$10004,MATCH(1,INDEX((NHAP_LIEU!$A$5:$A$10004=($J$2+31-2))*(NHAP_LIEU!$B$5:$B$10004=$A17),0),0)),CAU_HINH_CA!$A$5:$A$50,0))*INDEX(NHAP_LIEU!$E$5:$E$10004,MATCH(1,INDEX((NHAP_LIEU!$A$5:$A$10004=($J$2+31-2))*(NHAP_LIEU!$B$5:$B$10004=$A17),0),0)),0),""))</f>
        <v/>
      </c>
      <c r="AF17" s="55" t="str">
        <f aca="false">IF(AF6="","",IFERROR(AF6/ROUND(INDEX(CAU_HINH_CA!$C$5:$C$50,MATCH(INDEX(NHAP_LIEU!$D$5:$D$10004,MATCH(1,INDEX((NHAP_LIEU!$A$5:$A$10004=($J$2+32-2))*(NHAP_LIEU!$B$5:$B$10004=$A17),0),0)),CAU_HINH_CA!$A$5:$A$50,0))*INDEX(NHAP_LIEU!$E$5:$E$10004,MATCH(1,INDEX((NHAP_LIEU!$A$5:$A$10004=($J$2+32-2))*(NHAP_LIEU!$B$5:$B$10004=$A17),0),0)),0),""))</f>
        <v/>
      </c>
    </row>
    <row r="18" customFormat="false" ht="15" hidden="false" customHeight="false" outlineLevel="0" collapsed="false">
      <c r="A18" s="51" t="str">
        <f aca="false">A7</f>
        <v>Chuyền 2</v>
      </c>
      <c r="B18" s="55" t="n">
        <f aca="false">IF(B7="","",IFERROR(B7/ROUND(INDEX(CAU_HINH_CA!$C$5:$C$50,MATCH(INDEX(NHAP_LIEU!$D$5:$D$10004,MATCH(1,INDEX((NHAP_LIEU!$A$5:$A$10004=($J$2+2-2))*(NHAP_LIEU!$B$5:$B$10004=$A18),0),0)),CAU_HINH_CA!$A$5:$A$50,0))*INDEX(NHAP_LIEU!$E$5:$E$10004,MATCH(1,INDEX((NHAP_LIEU!$A$5:$A$10004=($J$2+2-2))*(NHAP_LIEU!$B$5:$B$10004=$A18),0),0)),0),""))</f>
        <v>0.9</v>
      </c>
      <c r="C18" s="55" t="n">
        <f aca="false">IF(C7="","",IFERROR(C7/ROUND(INDEX(CAU_HINH_CA!$C$5:$C$50,MATCH(INDEX(NHAP_LIEU!$D$5:$D$10004,MATCH(1,INDEX((NHAP_LIEU!$A$5:$A$10004=($J$2+3-2))*(NHAP_LIEU!$B$5:$B$10004=$A18),0),0)),CAU_HINH_CA!$A$5:$A$50,0))*INDEX(NHAP_LIEU!$E$5:$E$10004,MATCH(1,INDEX((NHAP_LIEU!$A$5:$A$10004=($J$2+3-2))*(NHAP_LIEU!$B$5:$B$10004=$A18),0),0)),0),""))</f>
        <v>0.24</v>
      </c>
      <c r="D18" s="55" t="str">
        <f aca="false">IF(D7="","",IFERROR(D7/ROUND(INDEX(CAU_HINH_CA!$C$5:$C$50,MATCH(INDEX(NHAP_LIEU!$D$5:$D$10004,MATCH(1,INDEX((NHAP_LIEU!$A$5:$A$10004=($J$2+4-2))*(NHAP_LIEU!$B$5:$B$10004=$A18),0),0)),CAU_HINH_CA!$A$5:$A$50,0))*INDEX(NHAP_LIEU!$E$5:$E$10004,MATCH(1,INDEX((NHAP_LIEU!$A$5:$A$10004=($J$2+4-2))*(NHAP_LIEU!$B$5:$B$10004=$A18),0),0)),0),""))</f>
        <v/>
      </c>
      <c r="E18" s="55" t="str">
        <f aca="false">IF(E7="","",IFERROR(E7/ROUND(INDEX(CAU_HINH_CA!$C$5:$C$50,MATCH(INDEX(NHAP_LIEU!$D$5:$D$10004,MATCH(1,INDEX((NHAP_LIEU!$A$5:$A$10004=($J$2+5-2))*(NHAP_LIEU!$B$5:$B$10004=$A18),0),0)),CAU_HINH_CA!$A$5:$A$50,0))*INDEX(NHAP_LIEU!$E$5:$E$10004,MATCH(1,INDEX((NHAP_LIEU!$A$5:$A$10004=($J$2+5-2))*(NHAP_LIEU!$B$5:$B$10004=$A18),0),0)),0),""))</f>
        <v/>
      </c>
      <c r="F18" s="55" t="str">
        <f aca="false">IF(F7="","",IFERROR(F7/ROUND(INDEX(CAU_HINH_CA!$C$5:$C$50,MATCH(INDEX(NHAP_LIEU!$D$5:$D$10004,MATCH(1,INDEX((NHAP_LIEU!$A$5:$A$10004=($J$2+6-2))*(NHAP_LIEU!$B$5:$B$10004=$A18),0),0)),CAU_HINH_CA!$A$5:$A$50,0))*INDEX(NHAP_LIEU!$E$5:$E$10004,MATCH(1,INDEX((NHAP_LIEU!$A$5:$A$10004=($J$2+6-2))*(NHAP_LIEU!$B$5:$B$10004=$A18),0),0)),0),""))</f>
        <v/>
      </c>
      <c r="G18" s="55" t="str">
        <f aca="false">IF(G7="","",IFERROR(G7/ROUND(INDEX(CAU_HINH_CA!$C$5:$C$50,MATCH(INDEX(NHAP_LIEU!$D$5:$D$10004,MATCH(1,INDEX((NHAP_LIEU!$A$5:$A$10004=($J$2+7-2))*(NHAP_LIEU!$B$5:$B$10004=$A18),0),0)),CAU_HINH_CA!$A$5:$A$50,0))*INDEX(NHAP_LIEU!$E$5:$E$10004,MATCH(1,INDEX((NHAP_LIEU!$A$5:$A$10004=($J$2+7-2))*(NHAP_LIEU!$B$5:$B$10004=$A18),0),0)),0),""))</f>
        <v/>
      </c>
      <c r="H18" s="55" t="str">
        <f aca="false">IF(H7="","",IFERROR(H7/ROUND(INDEX(CAU_HINH_CA!$C$5:$C$50,MATCH(INDEX(NHAP_LIEU!$D$5:$D$10004,MATCH(1,INDEX((NHAP_LIEU!$A$5:$A$10004=($J$2+8-2))*(NHAP_LIEU!$B$5:$B$10004=$A18),0),0)),CAU_HINH_CA!$A$5:$A$50,0))*INDEX(NHAP_LIEU!$E$5:$E$10004,MATCH(1,INDEX((NHAP_LIEU!$A$5:$A$10004=($J$2+8-2))*(NHAP_LIEU!$B$5:$B$10004=$A18),0),0)),0),""))</f>
        <v/>
      </c>
      <c r="I18" s="55" t="str">
        <f aca="false">IF(I7="","",IFERROR(I7/ROUND(INDEX(CAU_HINH_CA!$C$5:$C$50,MATCH(INDEX(NHAP_LIEU!$D$5:$D$10004,MATCH(1,INDEX((NHAP_LIEU!$A$5:$A$10004=($J$2+9-2))*(NHAP_LIEU!$B$5:$B$10004=$A18),0),0)),CAU_HINH_CA!$A$5:$A$50,0))*INDEX(NHAP_LIEU!$E$5:$E$10004,MATCH(1,INDEX((NHAP_LIEU!$A$5:$A$10004=($J$2+9-2))*(NHAP_LIEU!$B$5:$B$10004=$A18),0),0)),0),""))</f>
        <v/>
      </c>
      <c r="J18" s="55" t="str">
        <f aca="false">IF(J7="","",IFERROR(J7/ROUND(INDEX(CAU_HINH_CA!$C$5:$C$50,MATCH(INDEX(NHAP_LIEU!$D$5:$D$10004,MATCH(1,INDEX((NHAP_LIEU!$A$5:$A$10004=($J$2+10-2))*(NHAP_LIEU!$B$5:$B$10004=$A18),0),0)),CAU_HINH_CA!$A$5:$A$50,0))*INDEX(NHAP_LIEU!$E$5:$E$10004,MATCH(1,INDEX((NHAP_LIEU!$A$5:$A$10004=($J$2+10-2))*(NHAP_LIEU!$B$5:$B$10004=$A18),0),0)),0),""))</f>
        <v/>
      </c>
      <c r="K18" s="55" t="str">
        <f aca="false">IF(K7="","",IFERROR(K7/ROUND(INDEX(CAU_HINH_CA!$C$5:$C$50,MATCH(INDEX(NHAP_LIEU!$D$5:$D$10004,MATCH(1,INDEX((NHAP_LIEU!$A$5:$A$10004=($J$2+11-2))*(NHAP_LIEU!$B$5:$B$10004=$A18),0),0)),CAU_HINH_CA!$A$5:$A$50,0))*INDEX(NHAP_LIEU!$E$5:$E$10004,MATCH(1,INDEX((NHAP_LIEU!$A$5:$A$10004=($J$2+11-2))*(NHAP_LIEU!$B$5:$B$10004=$A18),0),0)),0),""))</f>
        <v/>
      </c>
      <c r="L18" s="55" t="str">
        <f aca="false">IF(L7="","",IFERROR(L7/ROUND(INDEX(CAU_HINH_CA!$C$5:$C$50,MATCH(INDEX(NHAP_LIEU!$D$5:$D$10004,MATCH(1,INDEX((NHAP_LIEU!$A$5:$A$10004=($J$2+12-2))*(NHAP_LIEU!$B$5:$B$10004=$A18),0),0)),CAU_HINH_CA!$A$5:$A$50,0))*INDEX(NHAP_LIEU!$E$5:$E$10004,MATCH(1,INDEX((NHAP_LIEU!$A$5:$A$10004=($J$2+12-2))*(NHAP_LIEU!$B$5:$B$10004=$A18),0),0)),0),""))</f>
        <v/>
      </c>
      <c r="M18" s="55" t="str">
        <f aca="false">IF(M7="","",IFERROR(M7/ROUND(INDEX(CAU_HINH_CA!$C$5:$C$50,MATCH(INDEX(NHAP_LIEU!$D$5:$D$10004,MATCH(1,INDEX((NHAP_LIEU!$A$5:$A$10004=($J$2+13-2))*(NHAP_LIEU!$B$5:$B$10004=$A18),0),0)),CAU_HINH_CA!$A$5:$A$50,0))*INDEX(NHAP_LIEU!$E$5:$E$10004,MATCH(1,INDEX((NHAP_LIEU!$A$5:$A$10004=($J$2+13-2))*(NHAP_LIEU!$B$5:$B$10004=$A18),0),0)),0),""))</f>
        <v/>
      </c>
      <c r="N18" s="55" t="str">
        <f aca="false">IF(N7="","",IFERROR(N7/ROUND(INDEX(CAU_HINH_CA!$C$5:$C$50,MATCH(INDEX(NHAP_LIEU!$D$5:$D$10004,MATCH(1,INDEX((NHAP_LIEU!$A$5:$A$10004=($J$2+14-2))*(NHAP_LIEU!$B$5:$B$10004=$A18),0),0)),CAU_HINH_CA!$A$5:$A$50,0))*INDEX(NHAP_LIEU!$E$5:$E$10004,MATCH(1,INDEX((NHAP_LIEU!$A$5:$A$10004=($J$2+14-2))*(NHAP_LIEU!$B$5:$B$10004=$A18),0),0)),0),""))</f>
        <v/>
      </c>
      <c r="O18" s="55" t="str">
        <f aca="false">IF(O7="","",IFERROR(O7/ROUND(INDEX(CAU_HINH_CA!$C$5:$C$50,MATCH(INDEX(NHAP_LIEU!$D$5:$D$10004,MATCH(1,INDEX((NHAP_LIEU!$A$5:$A$10004=($J$2+15-2))*(NHAP_LIEU!$B$5:$B$10004=$A18),0),0)),CAU_HINH_CA!$A$5:$A$50,0))*INDEX(NHAP_LIEU!$E$5:$E$10004,MATCH(1,INDEX((NHAP_LIEU!$A$5:$A$10004=($J$2+15-2))*(NHAP_LIEU!$B$5:$B$10004=$A18),0),0)),0),""))</f>
        <v/>
      </c>
      <c r="P18" s="55" t="str">
        <f aca="false">IF(P7="","",IFERROR(P7/ROUND(INDEX(CAU_HINH_CA!$C$5:$C$50,MATCH(INDEX(NHAP_LIEU!$D$5:$D$10004,MATCH(1,INDEX((NHAP_LIEU!$A$5:$A$10004=($J$2+16-2))*(NHAP_LIEU!$B$5:$B$10004=$A18),0),0)),CAU_HINH_CA!$A$5:$A$50,0))*INDEX(NHAP_LIEU!$E$5:$E$10004,MATCH(1,INDEX((NHAP_LIEU!$A$5:$A$10004=($J$2+16-2))*(NHAP_LIEU!$B$5:$B$10004=$A18),0),0)),0),""))</f>
        <v/>
      </c>
      <c r="Q18" s="55" t="str">
        <f aca="false">IF(Q7="","",IFERROR(Q7/ROUND(INDEX(CAU_HINH_CA!$C$5:$C$50,MATCH(INDEX(NHAP_LIEU!$D$5:$D$10004,MATCH(1,INDEX((NHAP_LIEU!$A$5:$A$10004=($J$2+17-2))*(NHAP_LIEU!$B$5:$B$10004=$A18),0),0)),CAU_HINH_CA!$A$5:$A$50,0))*INDEX(NHAP_LIEU!$E$5:$E$10004,MATCH(1,INDEX((NHAP_LIEU!$A$5:$A$10004=($J$2+17-2))*(NHAP_LIEU!$B$5:$B$10004=$A18),0),0)),0),""))</f>
        <v/>
      </c>
      <c r="R18" s="55" t="str">
        <f aca="false">IF(R7="","",IFERROR(R7/ROUND(INDEX(CAU_HINH_CA!$C$5:$C$50,MATCH(INDEX(NHAP_LIEU!$D$5:$D$10004,MATCH(1,INDEX((NHAP_LIEU!$A$5:$A$10004=($J$2+18-2))*(NHAP_LIEU!$B$5:$B$10004=$A18),0),0)),CAU_HINH_CA!$A$5:$A$50,0))*INDEX(NHAP_LIEU!$E$5:$E$10004,MATCH(1,INDEX((NHAP_LIEU!$A$5:$A$10004=($J$2+18-2))*(NHAP_LIEU!$B$5:$B$10004=$A18),0),0)),0),""))</f>
        <v/>
      </c>
      <c r="S18" s="55" t="str">
        <f aca="false">IF(S7="","",IFERROR(S7/ROUND(INDEX(CAU_HINH_CA!$C$5:$C$50,MATCH(INDEX(NHAP_LIEU!$D$5:$D$10004,MATCH(1,INDEX((NHAP_LIEU!$A$5:$A$10004=($J$2+19-2))*(NHAP_LIEU!$B$5:$B$10004=$A18),0),0)),CAU_HINH_CA!$A$5:$A$50,0))*INDEX(NHAP_LIEU!$E$5:$E$10004,MATCH(1,INDEX((NHAP_LIEU!$A$5:$A$10004=($J$2+19-2))*(NHAP_LIEU!$B$5:$B$10004=$A18),0),0)),0),""))</f>
        <v/>
      </c>
      <c r="T18" s="55" t="str">
        <f aca="false">IF(T7="","",IFERROR(T7/ROUND(INDEX(CAU_HINH_CA!$C$5:$C$50,MATCH(INDEX(NHAP_LIEU!$D$5:$D$10004,MATCH(1,INDEX((NHAP_LIEU!$A$5:$A$10004=($J$2+20-2))*(NHAP_LIEU!$B$5:$B$10004=$A18),0),0)),CAU_HINH_CA!$A$5:$A$50,0))*INDEX(NHAP_LIEU!$E$5:$E$10004,MATCH(1,INDEX((NHAP_LIEU!$A$5:$A$10004=($J$2+20-2))*(NHAP_LIEU!$B$5:$B$10004=$A18),0),0)),0),""))</f>
        <v/>
      </c>
      <c r="U18" s="55" t="str">
        <f aca="false">IF(U7="","",IFERROR(U7/ROUND(INDEX(CAU_HINH_CA!$C$5:$C$50,MATCH(INDEX(NHAP_LIEU!$D$5:$D$10004,MATCH(1,INDEX((NHAP_LIEU!$A$5:$A$10004=($J$2+21-2))*(NHAP_LIEU!$B$5:$B$10004=$A18),0),0)),CAU_HINH_CA!$A$5:$A$50,0))*INDEX(NHAP_LIEU!$E$5:$E$10004,MATCH(1,INDEX((NHAP_LIEU!$A$5:$A$10004=($J$2+21-2))*(NHAP_LIEU!$B$5:$B$10004=$A18),0),0)),0),""))</f>
        <v/>
      </c>
      <c r="V18" s="55" t="str">
        <f aca="false">IF(V7="","",IFERROR(V7/ROUND(INDEX(CAU_HINH_CA!$C$5:$C$50,MATCH(INDEX(NHAP_LIEU!$D$5:$D$10004,MATCH(1,INDEX((NHAP_LIEU!$A$5:$A$10004=($J$2+22-2))*(NHAP_LIEU!$B$5:$B$10004=$A18),0),0)),CAU_HINH_CA!$A$5:$A$50,0))*INDEX(NHAP_LIEU!$E$5:$E$10004,MATCH(1,INDEX((NHAP_LIEU!$A$5:$A$10004=($J$2+22-2))*(NHAP_LIEU!$B$5:$B$10004=$A18),0),0)),0),""))</f>
        <v/>
      </c>
      <c r="W18" s="55" t="str">
        <f aca="false">IF(W7="","",IFERROR(W7/ROUND(INDEX(CAU_HINH_CA!$C$5:$C$50,MATCH(INDEX(NHAP_LIEU!$D$5:$D$10004,MATCH(1,INDEX((NHAP_LIEU!$A$5:$A$10004=($J$2+23-2))*(NHAP_LIEU!$B$5:$B$10004=$A18),0),0)),CAU_HINH_CA!$A$5:$A$50,0))*INDEX(NHAP_LIEU!$E$5:$E$10004,MATCH(1,INDEX((NHAP_LIEU!$A$5:$A$10004=($J$2+23-2))*(NHAP_LIEU!$B$5:$B$10004=$A18),0),0)),0),""))</f>
        <v/>
      </c>
      <c r="X18" s="55" t="str">
        <f aca="false">IF(X7="","",IFERROR(X7/ROUND(INDEX(CAU_HINH_CA!$C$5:$C$50,MATCH(INDEX(NHAP_LIEU!$D$5:$D$10004,MATCH(1,INDEX((NHAP_LIEU!$A$5:$A$10004=($J$2+24-2))*(NHAP_LIEU!$B$5:$B$10004=$A18),0),0)),CAU_HINH_CA!$A$5:$A$50,0))*INDEX(NHAP_LIEU!$E$5:$E$10004,MATCH(1,INDEX((NHAP_LIEU!$A$5:$A$10004=($J$2+24-2))*(NHAP_LIEU!$B$5:$B$10004=$A18),0),0)),0),""))</f>
        <v/>
      </c>
      <c r="Y18" s="55" t="str">
        <f aca="false">IF(Y7="","",IFERROR(Y7/ROUND(INDEX(CAU_HINH_CA!$C$5:$C$50,MATCH(INDEX(NHAP_LIEU!$D$5:$D$10004,MATCH(1,INDEX((NHAP_LIEU!$A$5:$A$10004=($J$2+25-2))*(NHAP_LIEU!$B$5:$B$10004=$A18),0),0)),CAU_HINH_CA!$A$5:$A$50,0))*INDEX(NHAP_LIEU!$E$5:$E$10004,MATCH(1,INDEX((NHAP_LIEU!$A$5:$A$10004=($J$2+25-2))*(NHAP_LIEU!$B$5:$B$10004=$A18),0),0)),0),""))</f>
        <v/>
      </c>
      <c r="Z18" s="55" t="str">
        <f aca="false">IF(Z7="","",IFERROR(Z7/ROUND(INDEX(CAU_HINH_CA!$C$5:$C$50,MATCH(INDEX(NHAP_LIEU!$D$5:$D$10004,MATCH(1,INDEX((NHAP_LIEU!$A$5:$A$10004=($J$2+26-2))*(NHAP_LIEU!$B$5:$B$10004=$A18),0),0)),CAU_HINH_CA!$A$5:$A$50,0))*INDEX(NHAP_LIEU!$E$5:$E$10004,MATCH(1,INDEX((NHAP_LIEU!$A$5:$A$10004=($J$2+26-2))*(NHAP_LIEU!$B$5:$B$10004=$A18),0),0)),0),""))</f>
        <v/>
      </c>
      <c r="AA18" s="55" t="str">
        <f aca="false">IF(AA7="","",IFERROR(AA7/ROUND(INDEX(CAU_HINH_CA!$C$5:$C$50,MATCH(INDEX(NHAP_LIEU!$D$5:$D$10004,MATCH(1,INDEX((NHAP_LIEU!$A$5:$A$10004=($J$2+27-2))*(NHAP_LIEU!$B$5:$B$10004=$A18),0),0)),CAU_HINH_CA!$A$5:$A$50,0))*INDEX(NHAP_LIEU!$E$5:$E$10004,MATCH(1,INDEX((NHAP_LIEU!$A$5:$A$10004=($J$2+27-2))*(NHAP_LIEU!$B$5:$B$10004=$A18),0),0)),0),""))</f>
        <v/>
      </c>
      <c r="AB18" s="55" t="str">
        <f aca="false">IF(AB7="","",IFERROR(AB7/ROUND(INDEX(CAU_HINH_CA!$C$5:$C$50,MATCH(INDEX(NHAP_LIEU!$D$5:$D$10004,MATCH(1,INDEX((NHAP_LIEU!$A$5:$A$10004=($J$2+28-2))*(NHAP_LIEU!$B$5:$B$10004=$A18),0),0)),CAU_HINH_CA!$A$5:$A$50,0))*INDEX(NHAP_LIEU!$E$5:$E$10004,MATCH(1,INDEX((NHAP_LIEU!$A$5:$A$10004=($J$2+28-2))*(NHAP_LIEU!$B$5:$B$10004=$A18),0),0)),0),""))</f>
        <v/>
      </c>
      <c r="AC18" s="55" t="str">
        <f aca="false">IF(AC7="","",IFERROR(AC7/ROUND(INDEX(CAU_HINH_CA!$C$5:$C$50,MATCH(INDEX(NHAP_LIEU!$D$5:$D$10004,MATCH(1,INDEX((NHAP_LIEU!$A$5:$A$10004=($J$2+29-2))*(NHAP_LIEU!$B$5:$B$10004=$A18),0),0)),CAU_HINH_CA!$A$5:$A$50,0))*INDEX(NHAP_LIEU!$E$5:$E$10004,MATCH(1,INDEX((NHAP_LIEU!$A$5:$A$10004=($J$2+29-2))*(NHAP_LIEU!$B$5:$B$10004=$A18),0),0)),0),""))</f>
        <v/>
      </c>
      <c r="AD18" s="55" t="str">
        <f aca="false">IF(AD7="","",IFERROR(AD7/ROUND(INDEX(CAU_HINH_CA!$C$5:$C$50,MATCH(INDEX(NHAP_LIEU!$D$5:$D$10004,MATCH(1,INDEX((NHAP_LIEU!$A$5:$A$10004=($J$2+30-2))*(NHAP_LIEU!$B$5:$B$10004=$A18),0),0)),CAU_HINH_CA!$A$5:$A$50,0))*INDEX(NHAP_LIEU!$E$5:$E$10004,MATCH(1,INDEX((NHAP_LIEU!$A$5:$A$10004=($J$2+30-2))*(NHAP_LIEU!$B$5:$B$10004=$A18),0),0)),0),""))</f>
        <v/>
      </c>
      <c r="AE18" s="55" t="str">
        <f aca="false">IF(AE7="","",IFERROR(AE7/ROUND(INDEX(CAU_HINH_CA!$C$5:$C$50,MATCH(INDEX(NHAP_LIEU!$D$5:$D$10004,MATCH(1,INDEX((NHAP_LIEU!$A$5:$A$10004=($J$2+31-2))*(NHAP_LIEU!$B$5:$B$10004=$A18),0),0)),CAU_HINH_CA!$A$5:$A$50,0))*INDEX(NHAP_LIEU!$E$5:$E$10004,MATCH(1,INDEX((NHAP_LIEU!$A$5:$A$10004=($J$2+31-2))*(NHAP_LIEU!$B$5:$B$10004=$A18),0),0)),0),""))</f>
        <v/>
      </c>
      <c r="AF18" s="55" t="str">
        <f aca="false">IF(AF7="","",IFERROR(AF7/ROUND(INDEX(CAU_HINH_CA!$C$5:$C$50,MATCH(INDEX(NHAP_LIEU!$D$5:$D$10004,MATCH(1,INDEX((NHAP_LIEU!$A$5:$A$10004=($J$2+32-2))*(NHAP_LIEU!$B$5:$B$10004=$A18),0),0)),CAU_HINH_CA!$A$5:$A$50,0))*INDEX(NHAP_LIEU!$E$5:$E$10004,MATCH(1,INDEX((NHAP_LIEU!$A$5:$A$10004=($J$2+32-2))*(NHAP_LIEU!$B$5:$B$10004=$A18),0),0)),0),""))</f>
        <v/>
      </c>
    </row>
    <row r="19" customFormat="false" ht="15" hidden="false" customHeight="false" outlineLevel="0" collapsed="false">
      <c r="A19" s="51" t="str">
        <f aca="false">A8</f>
        <v>Chuyền 3</v>
      </c>
      <c r="B19" s="55" t="n">
        <f aca="false">IF(B8="","",IFERROR(B8/ROUND(INDEX(CAU_HINH_CA!$C$5:$C$50,MATCH(INDEX(NHAP_LIEU!$D$5:$D$10004,MATCH(1,INDEX((NHAP_LIEU!$A$5:$A$10004=($J$2+2-2))*(NHAP_LIEU!$B$5:$B$10004=$A19),0),0)),CAU_HINH_CA!$A$5:$A$50,0))*INDEX(NHAP_LIEU!$E$5:$E$10004,MATCH(1,INDEX((NHAP_LIEU!$A$5:$A$10004=($J$2+2-2))*(NHAP_LIEU!$B$5:$B$10004=$A19),0),0)),0),""))</f>
        <v>0.956296992481203</v>
      </c>
      <c r="C19" s="55" t="str">
        <f aca="false">IF(C8="","",IFERROR(C8/ROUND(INDEX(CAU_HINH_CA!$C$5:$C$50,MATCH(INDEX(NHAP_LIEU!$D$5:$D$10004,MATCH(1,INDEX((NHAP_LIEU!$A$5:$A$10004=($J$2+3-2))*(NHAP_LIEU!$B$5:$B$10004=$A19),0),0)),CAU_HINH_CA!$A$5:$A$50,0))*INDEX(NHAP_LIEU!$E$5:$E$10004,MATCH(1,INDEX((NHAP_LIEU!$A$5:$A$10004=($J$2+3-2))*(NHAP_LIEU!$B$5:$B$10004=$A19),0),0)),0),""))</f>
        <v/>
      </c>
      <c r="D19" s="55" t="str">
        <f aca="false">IF(D8="","",IFERROR(D8/ROUND(INDEX(CAU_HINH_CA!$C$5:$C$50,MATCH(INDEX(NHAP_LIEU!$D$5:$D$10004,MATCH(1,INDEX((NHAP_LIEU!$A$5:$A$10004=($J$2+4-2))*(NHAP_LIEU!$B$5:$B$10004=$A19),0),0)),CAU_HINH_CA!$A$5:$A$50,0))*INDEX(NHAP_LIEU!$E$5:$E$10004,MATCH(1,INDEX((NHAP_LIEU!$A$5:$A$10004=($J$2+4-2))*(NHAP_LIEU!$B$5:$B$10004=$A19),0),0)),0),""))</f>
        <v/>
      </c>
      <c r="E19" s="55" t="str">
        <f aca="false">IF(E8="","",IFERROR(E8/ROUND(INDEX(CAU_HINH_CA!$C$5:$C$50,MATCH(INDEX(NHAP_LIEU!$D$5:$D$10004,MATCH(1,INDEX((NHAP_LIEU!$A$5:$A$10004=($J$2+5-2))*(NHAP_LIEU!$B$5:$B$10004=$A19),0),0)),CAU_HINH_CA!$A$5:$A$50,0))*INDEX(NHAP_LIEU!$E$5:$E$10004,MATCH(1,INDEX((NHAP_LIEU!$A$5:$A$10004=($J$2+5-2))*(NHAP_LIEU!$B$5:$B$10004=$A19),0),0)),0),""))</f>
        <v/>
      </c>
      <c r="F19" s="55" t="str">
        <f aca="false">IF(F8="","",IFERROR(F8/ROUND(INDEX(CAU_HINH_CA!$C$5:$C$50,MATCH(INDEX(NHAP_LIEU!$D$5:$D$10004,MATCH(1,INDEX((NHAP_LIEU!$A$5:$A$10004=($J$2+6-2))*(NHAP_LIEU!$B$5:$B$10004=$A19),0),0)),CAU_HINH_CA!$A$5:$A$50,0))*INDEX(NHAP_LIEU!$E$5:$E$10004,MATCH(1,INDEX((NHAP_LIEU!$A$5:$A$10004=($J$2+6-2))*(NHAP_LIEU!$B$5:$B$10004=$A19),0),0)),0),""))</f>
        <v/>
      </c>
      <c r="G19" s="55" t="str">
        <f aca="false">IF(G8="","",IFERROR(G8/ROUND(INDEX(CAU_HINH_CA!$C$5:$C$50,MATCH(INDEX(NHAP_LIEU!$D$5:$D$10004,MATCH(1,INDEX((NHAP_LIEU!$A$5:$A$10004=($J$2+7-2))*(NHAP_LIEU!$B$5:$B$10004=$A19),0),0)),CAU_HINH_CA!$A$5:$A$50,0))*INDEX(NHAP_LIEU!$E$5:$E$10004,MATCH(1,INDEX((NHAP_LIEU!$A$5:$A$10004=($J$2+7-2))*(NHAP_LIEU!$B$5:$B$10004=$A19),0),0)),0),""))</f>
        <v/>
      </c>
      <c r="H19" s="55" t="str">
        <f aca="false">IF(H8="","",IFERROR(H8/ROUND(INDEX(CAU_HINH_CA!$C$5:$C$50,MATCH(INDEX(NHAP_LIEU!$D$5:$D$10004,MATCH(1,INDEX((NHAP_LIEU!$A$5:$A$10004=($J$2+8-2))*(NHAP_LIEU!$B$5:$B$10004=$A19),0),0)),CAU_HINH_CA!$A$5:$A$50,0))*INDEX(NHAP_LIEU!$E$5:$E$10004,MATCH(1,INDEX((NHAP_LIEU!$A$5:$A$10004=($J$2+8-2))*(NHAP_LIEU!$B$5:$B$10004=$A19),0),0)),0),""))</f>
        <v/>
      </c>
      <c r="I19" s="55" t="str">
        <f aca="false">IF(I8="","",IFERROR(I8/ROUND(INDEX(CAU_HINH_CA!$C$5:$C$50,MATCH(INDEX(NHAP_LIEU!$D$5:$D$10004,MATCH(1,INDEX((NHAP_LIEU!$A$5:$A$10004=($J$2+9-2))*(NHAP_LIEU!$B$5:$B$10004=$A19),0),0)),CAU_HINH_CA!$A$5:$A$50,0))*INDEX(NHAP_LIEU!$E$5:$E$10004,MATCH(1,INDEX((NHAP_LIEU!$A$5:$A$10004=($J$2+9-2))*(NHAP_LIEU!$B$5:$B$10004=$A19),0),0)),0),""))</f>
        <v/>
      </c>
      <c r="J19" s="55" t="str">
        <f aca="false">IF(J8="","",IFERROR(J8/ROUND(INDEX(CAU_HINH_CA!$C$5:$C$50,MATCH(INDEX(NHAP_LIEU!$D$5:$D$10004,MATCH(1,INDEX((NHAP_LIEU!$A$5:$A$10004=($J$2+10-2))*(NHAP_LIEU!$B$5:$B$10004=$A19),0),0)),CAU_HINH_CA!$A$5:$A$50,0))*INDEX(NHAP_LIEU!$E$5:$E$10004,MATCH(1,INDEX((NHAP_LIEU!$A$5:$A$10004=($J$2+10-2))*(NHAP_LIEU!$B$5:$B$10004=$A19),0),0)),0),""))</f>
        <v/>
      </c>
      <c r="K19" s="55" t="str">
        <f aca="false">IF(K8="","",IFERROR(K8/ROUND(INDEX(CAU_HINH_CA!$C$5:$C$50,MATCH(INDEX(NHAP_LIEU!$D$5:$D$10004,MATCH(1,INDEX((NHAP_LIEU!$A$5:$A$10004=($J$2+11-2))*(NHAP_LIEU!$B$5:$B$10004=$A19),0),0)),CAU_HINH_CA!$A$5:$A$50,0))*INDEX(NHAP_LIEU!$E$5:$E$10004,MATCH(1,INDEX((NHAP_LIEU!$A$5:$A$10004=($J$2+11-2))*(NHAP_LIEU!$B$5:$B$10004=$A19),0),0)),0),""))</f>
        <v/>
      </c>
      <c r="L19" s="55" t="str">
        <f aca="false">IF(L8="","",IFERROR(L8/ROUND(INDEX(CAU_HINH_CA!$C$5:$C$50,MATCH(INDEX(NHAP_LIEU!$D$5:$D$10004,MATCH(1,INDEX((NHAP_LIEU!$A$5:$A$10004=($J$2+12-2))*(NHAP_LIEU!$B$5:$B$10004=$A19),0),0)),CAU_HINH_CA!$A$5:$A$50,0))*INDEX(NHAP_LIEU!$E$5:$E$10004,MATCH(1,INDEX((NHAP_LIEU!$A$5:$A$10004=($J$2+12-2))*(NHAP_LIEU!$B$5:$B$10004=$A19),0),0)),0),""))</f>
        <v/>
      </c>
      <c r="M19" s="55" t="str">
        <f aca="false">IF(M8="","",IFERROR(M8/ROUND(INDEX(CAU_HINH_CA!$C$5:$C$50,MATCH(INDEX(NHAP_LIEU!$D$5:$D$10004,MATCH(1,INDEX((NHAP_LIEU!$A$5:$A$10004=($J$2+13-2))*(NHAP_LIEU!$B$5:$B$10004=$A19),0),0)),CAU_HINH_CA!$A$5:$A$50,0))*INDEX(NHAP_LIEU!$E$5:$E$10004,MATCH(1,INDEX((NHAP_LIEU!$A$5:$A$10004=($J$2+13-2))*(NHAP_LIEU!$B$5:$B$10004=$A19),0),0)),0),""))</f>
        <v/>
      </c>
      <c r="N19" s="55" t="str">
        <f aca="false">IF(N8="","",IFERROR(N8/ROUND(INDEX(CAU_HINH_CA!$C$5:$C$50,MATCH(INDEX(NHAP_LIEU!$D$5:$D$10004,MATCH(1,INDEX((NHAP_LIEU!$A$5:$A$10004=($J$2+14-2))*(NHAP_LIEU!$B$5:$B$10004=$A19),0),0)),CAU_HINH_CA!$A$5:$A$50,0))*INDEX(NHAP_LIEU!$E$5:$E$10004,MATCH(1,INDEX((NHAP_LIEU!$A$5:$A$10004=($J$2+14-2))*(NHAP_LIEU!$B$5:$B$10004=$A19),0),0)),0),""))</f>
        <v/>
      </c>
      <c r="O19" s="55" t="str">
        <f aca="false">IF(O8="","",IFERROR(O8/ROUND(INDEX(CAU_HINH_CA!$C$5:$C$50,MATCH(INDEX(NHAP_LIEU!$D$5:$D$10004,MATCH(1,INDEX((NHAP_LIEU!$A$5:$A$10004=($J$2+15-2))*(NHAP_LIEU!$B$5:$B$10004=$A19),0),0)),CAU_HINH_CA!$A$5:$A$50,0))*INDEX(NHAP_LIEU!$E$5:$E$10004,MATCH(1,INDEX((NHAP_LIEU!$A$5:$A$10004=($J$2+15-2))*(NHAP_LIEU!$B$5:$B$10004=$A19),0),0)),0),""))</f>
        <v/>
      </c>
      <c r="P19" s="55" t="str">
        <f aca="false">IF(P8="","",IFERROR(P8/ROUND(INDEX(CAU_HINH_CA!$C$5:$C$50,MATCH(INDEX(NHAP_LIEU!$D$5:$D$10004,MATCH(1,INDEX((NHAP_LIEU!$A$5:$A$10004=($J$2+16-2))*(NHAP_LIEU!$B$5:$B$10004=$A19),0),0)),CAU_HINH_CA!$A$5:$A$50,0))*INDEX(NHAP_LIEU!$E$5:$E$10004,MATCH(1,INDEX((NHAP_LIEU!$A$5:$A$10004=($J$2+16-2))*(NHAP_LIEU!$B$5:$B$10004=$A19),0),0)),0),""))</f>
        <v/>
      </c>
      <c r="Q19" s="55" t="str">
        <f aca="false">IF(Q8="","",IFERROR(Q8/ROUND(INDEX(CAU_HINH_CA!$C$5:$C$50,MATCH(INDEX(NHAP_LIEU!$D$5:$D$10004,MATCH(1,INDEX((NHAP_LIEU!$A$5:$A$10004=($J$2+17-2))*(NHAP_LIEU!$B$5:$B$10004=$A19),0),0)),CAU_HINH_CA!$A$5:$A$50,0))*INDEX(NHAP_LIEU!$E$5:$E$10004,MATCH(1,INDEX((NHAP_LIEU!$A$5:$A$10004=($J$2+17-2))*(NHAP_LIEU!$B$5:$B$10004=$A19),0),0)),0),""))</f>
        <v/>
      </c>
      <c r="R19" s="55" t="str">
        <f aca="false">IF(R8="","",IFERROR(R8/ROUND(INDEX(CAU_HINH_CA!$C$5:$C$50,MATCH(INDEX(NHAP_LIEU!$D$5:$D$10004,MATCH(1,INDEX((NHAP_LIEU!$A$5:$A$10004=($J$2+18-2))*(NHAP_LIEU!$B$5:$B$10004=$A19),0),0)),CAU_HINH_CA!$A$5:$A$50,0))*INDEX(NHAP_LIEU!$E$5:$E$10004,MATCH(1,INDEX((NHAP_LIEU!$A$5:$A$10004=($J$2+18-2))*(NHAP_LIEU!$B$5:$B$10004=$A19),0),0)),0),""))</f>
        <v/>
      </c>
      <c r="S19" s="55" t="str">
        <f aca="false">IF(S8="","",IFERROR(S8/ROUND(INDEX(CAU_HINH_CA!$C$5:$C$50,MATCH(INDEX(NHAP_LIEU!$D$5:$D$10004,MATCH(1,INDEX((NHAP_LIEU!$A$5:$A$10004=($J$2+19-2))*(NHAP_LIEU!$B$5:$B$10004=$A19),0),0)),CAU_HINH_CA!$A$5:$A$50,0))*INDEX(NHAP_LIEU!$E$5:$E$10004,MATCH(1,INDEX((NHAP_LIEU!$A$5:$A$10004=($J$2+19-2))*(NHAP_LIEU!$B$5:$B$10004=$A19),0),0)),0),""))</f>
        <v/>
      </c>
      <c r="T19" s="55" t="str">
        <f aca="false">IF(T8="","",IFERROR(T8/ROUND(INDEX(CAU_HINH_CA!$C$5:$C$50,MATCH(INDEX(NHAP_LIEU!$D$5:$D$10004,MATCH(1,INDEX((NHAP_LIEU!$A$5:$A$10004=($J$2+20-2))*(NHAP_LIEU!$B$5:$B$10004=$A19),0),0)),CAU_HINH_CA!$A$5:$A$50,0))*INDEX(NHAP_LIEU!$E$5:$E$10004,MATCH(1,INDEX((NHAP_LIEU!$A$5:$A$10004=($J$2+20-2))*(NHAP_LIEU!$B$5:$B$10004=$A19),0),0)),0),""))</f>
        <v/>
      </c>
      <c r="U19" s="55" t="str">
        <f aca="false">IF(U8="","",IFERROR(U8/ROUND(INDEX(CAU_HINH_CA!$C$5:$C$50,MATCH(INDEX(NHAP_LIEU!$D$5:$D$10004,MATCH(1,INDEX((NHAP_LIEU!$A$5:$A$10004=($J$2+21-2))*(NHAP_LIEU!$B$5:$B$10004=$A19),0),0)),CAU_HINH_CA!$A$5:$A$50,0))*INDEX(NHAP_LIEU!$E$5:$E$10004,MATCH(1,INDEX((NHAP_LIEU!$A$5:$A$10004=($J$2+21-2))*(NHAP_LIEU!$B$5:$B$10004=$A19),0),0)),0),""))</f>
        <v/>
      </c>
      <c r="V19" s="55" t="str">
        <f aca="false">IF(V8="","",IFERROR(V8/ROUND(INDEX(CAU_HINH_CA!$C$5:$C$50,MATCH(INDEX(NHAP_LIEU!$D$5:$D$10004,MATCH(1,INDEX((NHAP_LIEU!$A$5:$A$10004=($J$2+22-2))*(NHAP_LIEU!$B$5:$B$10004=$A19),0),0)),CAU_HINH_CA!$A$5:$A$50,0))*INDEX(NHAP_LIEU!$E$5:$E$10004,MATCH(1,INDEX((NHAP_LIEU!$A$5:$A$10004=($J$2+22-2))*(NHAP_LIEU!$B$5:$B$10004=$A19),0),0)),0),""))</f>
        <v/>
      </c>
      <c r="W19" s="55" t="str">
        <f aca="false">IF(W8="","",IFERROR(W8/ROUND(INDEX(CAU_HINH_CA!$C$5:$C$50,MATCH(INDEX(NHAP_LIEU!$D$5:$D$10004,MATCH(1,INDEX((NHAP_LIEU!$A$5:$A$10004=($J$2+23-2))*(NHAP_LIEU!$B$5:$B$10004=$A19),0),0)),CAU_HINH_CA!$A$5:$A$50,0))*INDEX(NHAP_LIEU!$E$5:$E$10004,MATCH(1,INDEX((NHAP_LIEU!$A$5:$A$10004=($J$2+23-2))*(NHAP_LIEU!$B$5:$B$10004=$A19),0),0)),0),""))</f>
        <v/>
      </c>
      <c r="X19" s="55" t="str">
        <f aca="false">IF(X8="","",IFERROR(X8/ROUND(INDEX(CAU_HINH_CA!$C$5:$C$50,MATCH(INDEX(NHAP_LIEU!$D$5:$D$10004,MATCH(1,INDEX((NHAP_LIEU!$A$5:$A$10004=($J$2+24-2))*(NHAP_LIEU!$B$5:$B$10004=$A19),0),0)),CAU_HINH_CA!$A$5:$A$50,0))*INDEX(NHAP_LIEU!$E$5:$E$10004,MATCH(1,INDEX((NHAP_LIEU!$A$5:$A$10004=($J$2+24-2))*(NHAP_LIEU!$B$5:$B$10004=$A19),0),0)),0),""))</f>
        <v/>
      </c>
      <c r="Y19" s="55" t="str">
        <f aca="false">IF(Y8="","",IFERROR(Y8/ROUND(INDEX(CAU_HINH_CA!$C$5:$C$50,MATCH(INDEX(NHAP_LIEU!$D$5:$D$10004,MATCH(1,INDEX((NHAP_LIEU!$A$5:$A$10004=($J$2+25-2))*(NHAP_LIEU!$B$5:$B$10004=$A19),0),0)),CAU_HINH_CA!$A$5:$A$50,0))*INDEX(NHAP_LIEU!$E$5:$E$10004,MATCH(1,INDEX((NHAP_LIEU!$A$5:$A$10004=($J$2+25-2))*(NHAP_LIEU!$B$5:$B$10004=$A19),0),0)),0),""))</f>
        <v/>
      </c>
      <c r="Z19" s="55" t="str">
        <f aca="false">IF(Z8="","",IFERROR(Z8/ROUND(INDEX(CAU_HINH_CA!$C$5:$C$50,MATCH(INDEX(NHAP_LIEU!$D$5:$D$10004,MATCH(1,INDEX((NHAP_LIEU!$A$5:$A$10004=($J$2+26-2))*(NHAP_LIEU!$B$5:$B$10004=$A19),0),0)),CAU_HINH_CA!$A$5:$A$50,0))*INDEX(NHAP_LIEU!$E$5:$E$10004,MATCH(1,INDEX((NHAP_LIEU!$A$5:$A$10004=($J$2+26-2))*(NHAP_LIEU!$B$5:$B$10004=$A19),0),0)),0),""))</f>
        <v/>
      </c>
      <c r="AA19" s="55" t="str">
        <f aca="false">IF(AA8="","",IFERROR(AA8/ROUND(INDEX(CAU_HINH_CA!$C$5:$C$50,MATCH(INDEX(NHAP_LIEU!$D$5:$D$10004,MATCH(1,INDEX((NHAP_LIEU!$A$5:$A$10004=($J$2+27-2))*(NHAP_LIEU!$B$5:$B$10004=$A19),0),0)),CAU_HINH_CA!$A$5:$A$50,0))*INDEX(NHAP_LIEU!$E$5:$E$10004,MATCH(1,INDEX((NHAP_LIEU!$A$5:$A$10004=($J$2+27-2))*(NHAP_LIEU!$B$5:$B$10004=$A19),0),0)),0),""))</f>
        <v/>
      </c>
      <c r="AB19" s="55" t="str">
        <f aca="false">IF(AB8="","",IFERROR(AB8/ROUND(INDEX(CAU_HINH_CA!$C$5:$C$50,MATCH(INDEX(NHAP_LIEU!$D$5:$D$10004,MATCH(1,INDEX((NHAP_LIEU!$A$5:$A$10004=($J$2+28-2))*(NHAP_LIEU!$B$5:$B$10004=$A19),0),0)),CAU_HINH_CA!$A$5:$A$50,0))*INDEX(NHAP_LIEU!$E$5:$E$10004,MATCH(1,INDEX((NHAP_LIEU!$A$5:$A$10004=($J$2+28-2))*(NHAP_LIEU!$B$5:$B$10004=$A19),0),0)),0),""))</f>
        <v/>
      </c>
      <c r="AC19" s="55" t="str">
        <f aca="false">IF(AC8="","",IFERROR(AC8/ROUND(INDEX(CAU_HINH_CA!$C$5:$C$50,MATCH(INDEX(NHAP_LIEU!$D$5:$D$10004,MATCH(1,INDEX((NHAP_LIEU!$A$5:$A$10004=($J$2+29-2))*(NHAP_LIEU!$B$5:$B$10004=$A19),0),0)),CAU_HINH_CA!$A$5:$A$50,0))*INDEX(NHAP_LIEU!$E$5:$E$10004,MATCH(1,INDEX((NHAP_LIEU!$A$5:$A$10004=($J$2+29-2))*(NHAP_LIEU!$B$5:$B$10004=$A19),0),0)),0),""))</f>
        <v/>
      </c>
      <c r="AD19" s="55" t="str">
        <f aca="false">IF(AD8="","",IFERROR(AD8/ROUND(INDEX(CAU_HINH_CA!$C$5:$C$50,MATCH(INDEX(NHAP_LIEU!$D$5:$D$10004,MATCH(1,INDEX((NHAP_LIEU!$A$5:$A$10004=($J$2+30-2))*(NHAP_LIEU!$B$5:$B$10004=$A19),0),0)),CAU_HINH_CA!$A$5:$A$50,0))*INDEX(NHAP_LIEU!$E$5:$E$10004,MATCH(1,INDEX((NHAP_LIEU!$A$5:$A$10004=($J$2+30-2))*(NHAP_LIEU!$B$5:$B$10004=$A19),0),0)),0),""))</f>
        <v/>
      </c>
      <c r="AE19" s="55" t="str">
        <f aca="false">IF(AE8="","",IFERROR(AE8/ROUND(INDEX(CAU_HINH_CA!$C$5:$C$50,MATCH(INDEX(NHAP_LIEU!$D$5:$D$10004,MATCH(1,INDEX((NHAP_LIEU!$A$5:$A$10004=($J$2+31-2))*(NHAP_LIEU!$B$5:$B$10004=$A19),0),0)),CAU_HINH_CA!$A$5:$A$50,0))*INDEX(NHAP_LIEU!$E$5:$E$10004,MATCH(1,INDEX((NHAP_LIEU!$A$5:$A$10004=($J$2+31-2))*(NHAP_LIEU!$B$5:$B$10004=$A19),0),0)),0),""))</f>
        <v/>
      </c>
      <c r="AF19" s="55" t="str">
        <f aca="false">IF(AF8="","",IFERROR(AF8/ROUND(INDEX(CAU_HINH_CA!$C$5:$C$50,MATCH(INDEX(NHAP_LIEU!$D$5:$D$10004,MATCH(1,INDEX((NHAP_LIEU!$A$5:$A$10004=($J$2+32-2))*(NHAP_LIEU!$B$5:$B$10004=$A19),0),0)),CAU_HINH_CA!$A$5:$A$50,0))*INDEX(NHAP_LIEU!$E$5:$E$10004,MATCH(1,INDEX((NHAP_LIEU!$A$5:$A$10004=($J$2+32-2))*(NHAP_LIEU!$B$5:$B$10004=$A19),0),0)),0),""))</f>
        <v/>
      </c>
    </row>
    <row r="20" customFormat="false" ht="15" hidden="false" customHeight="false" outlineLevel="0" collapsed="false">
      <c r="A20" s="51" t="str">
        <f aca="false">A9</f>
        <v>Chuyền 4</v>
      </c>
      <c r="B20" s="55" t="str">
        <f aca="false">IF(B9="","",IFERROR(B9/ROUND(INDEX(CAU_HINH_CA!$C$5:$C$50,MATCH(INDEX(NHAP_LIEU!$D$5:$D$10004,MATCH(1,INDEX((NHAP_LIEU!$A$5:$A$10004=($J$2+2-2))*(NHAP_LIEU!$B$5:$B$10004=$A20),0),0)),CAU_HINH_CA!$A$5:$A$50,0))*INDEX(NHAP_LIEU!$E$5:$E$10004,MATCH(1,INDEX((NHAP_LIEU!$A$5:$A$10004=($J$2+2-2))*(NHAP_LIEU!$B$5:$B$10004=$A20),0),0)),0),""))</f>
        <v/>
      </c>
      <c r="C20" s="55" t="str">
        <f aca="false">IF(C9="","",IFERROR(C9/ROUND(INDEX(CAU_HINH_CA!$C$5:$C$50,MATCH(INDEX(NHAP_LIEU!$D$5:$D$10004,MATCH(1,INDEX((NHAP_LIEU!$A$5:$A$10004=($J$2+3-2))*(NHAP_LIEU!$B$5:$B$10004=$A20),0),0)),CAU_HINH_CA!$A$5:$A$50,0))*INDEX(NHAP_LIEU!$E$5:$E$10004,MATCH(1,INDEX((NHAP_LIEU!$A$5:$A$10004=($J$2+3-2))*(NHAP_LIEU!$B$5:$B$10004=$A20),0),0)),0),""))</f>
        <v/>
      </c>
      <c r="D20" s="55" t="str">
        <f aca="false">IF(D9="","",IFERROR(D9/ROUND(INDEX(CAU_HINH_CA!$C$5:$C$50,MATCH(INDEX(NHAP_LIEU!$D$5:$D$10004,MATCH(1,INDEX((NHAP_LIEU!$A$5:$A$10004=($J$2+4-2))*(NHAP_LIEU!$B$5:$B$10004=$A20),0),0)),CAU_HINH_CA!$A$5:$A$50,0))*INDEX(NHAP_LIEU!$E$5:$E$10004,MATCH(1,INDEX((NHAP_LIEU!$A$5:$A$10004=($J$2+4-2))*(NHAP_LIEU!$B$5:$B$10004=$A20),0),0)),0),""))</f>
        <v/>
      </c>
      <c r="E20" s="55" t="str">
        <f aca="false">IF(E9="","",IFERROR(E9/ROUND(INDEX(CAU_HINH_CA!$C$5:$C$50,MATCH(INDEX(NHAP_LIEU!$D$5:$D$10004,MATCH(1,INDEX((NHAP_LIEU!$A$5:$A$10004=($J$2+5-2))*(NHAP_LIEU!$B$5:$B$10004=$A20),0),0)),CAU_HINH_CA!$A$5:$A$50,0))*INDEX(NHAP_LIEU!$E$5:$E$10004,MATCH(1,INDEX((NHAP_LIEU!$A$5:$A$10004=($J$2+5-2))*(NHAP_LIEU!$B$5:$B$10004=$A20),0),0)),0),""))</f>
        <v/>
      </c>
      <c r="F20" s="55" t="str">
        <f aca="false">IF(F9="","",IFERROR(F9/ROUND(INDEX(CAU_HINH_CA!$C$5:$C$50,MATCH(INDEX(NHAP_LIEU!$D$5:$D$10004,MATCH(1,INDEX((NHAP_LIEU!$A$5:$A$10004=($J$2+6-2))*(NHAP_LIEU!$B$5:$B$10004=$A20),0),0)),CAU_HINH_CA!$A$5:$A$50,0))*INDEX(NHAP_LIEU!$E$5:$E$10004,MATCH(1,INDEX((NHAP_LIEU!$A$5:$A$10004=($J$2+6-2))*(NHAP_LIEU!$B$5:$B$10004=$A20),0),0)),0),""))</f>
        <v/>
      </c>
      <c r="G20" s="55" t="str">
        <f aca="false">IF(G9="","",IFERROR(G9/ROUND(INDEX(CAU_HINH_CA!$C$5:$C$50,MATCH(INDEX(NHAP_LIEU!$D$5:$D$10004,MATCH(1,INDEX((NHAP_LIEU!$A$5:$A$10004=($J$2+7-2))*(NHAP_LIEU!$B$5:$B$10004=$A20),0),0)),CAU_HINH_CA!$A$5:$A$50,0))*INDEX(NHAP_LIEU!$E$5:$E$10004,MATCH(1,INDEX((NHAP_LIEU!$A$5:$A$10004=($J$2+7-2))*(NHAP_LIEU!$B$5:$B$10004=$A20),0),0)),0),""))</f>
        <v/>
      </c>
      <c r="H20" s="55" t="str">
        <f aca="false">IF(H9="","",IFERROR(H9/ROUND(INDEX(CAU_HINH_CA!$C$5:$C$50,MATCH(INDEX(NHAP_LIEU!$D$5:$D$10004,MATCH(1,INDEX((NHAP_LIEU!$A$5:$A$10004=($J$2+8-2))*(NHAP_LIEU!$B$5:$B$10004=$A20),0),0)),CAU_HINH_CA!$A$5:$A$50,0))*INDEX(NHAP_LIEU!$E$5:$E$10004,MATCH(1,INDEX((NHAP_LIEU!$A$5:$A$10004=($J$2+8-2))*(NHAP_LIEU!$B$5:$B$10004=$A20),0),0)),0),""))</f>
        <v/>
      </c>
      <c r="I20" s="55" t="str">
        <f aca="false">IF(I9="","",IFERROR(I9/ROUND(INDEX(CAU_HINH_CA!$C$5:$C$50,MATCH(INDEX(NHAP_LIEU!$D$5:$D$10004,MATCH(1,INDEX((NHAP_LIEU!$A$5:$A$10004=($J$2+9-2))*(NHAP_LIEU!$B$5:$B$10004=$A20),0),0)),CAU_HINH_CA!$A$5:$A$50,0))*INDEX(NHAP_LIEU!$E$5:$E$10004,MATCH(1,INDEX((NHAP_LIEU!$A$5:$A$10004=($J$2+9-2))*(NHAP_LIEU!$B$5:$B$10004=$A20),0),0)),0),""))</f>
        <v/>
      </c>
      <c r="J20" s="55" t="str">
        <f aca="false">IF(J9="","",IFERROR(J9/ROUND(INDEX(CAU_HINH_CA!$C$5:$C$50,MATCH(INDEX(NHAP_LIEU!$D$5:$D$10004,MATCH(1,INDEX((NHAP_LIEU!$A$5:$A$10004=($J$2+10-2))*(NHAP_LIEU!$B$5:$B$10004=$A20),0),0)),CAU_HINH_CA!$A$5:$A$50,0))*INDEX(NHAP_LIEU!$E$5:$E$10004,MATCH(1,INDEX((NHAP_LIEU!$A$5:$A$10004=($J$2+10-2))*(NHAP_LIEU!$B$5:$B$10004=$A20),0),0)),0),""))</f>
        <v/>
      </c>
      <c r="K20" s="55" t="str">
        <f aca="false">IF(K9="","",IFERROR(K9/ROUND(INDEX(CAU_HINH_CA!$C$5:$C$50,MATCH(INDEX(NHAP_LIEU!$D$5:$D$10004,MATCH(1,INDEX((NHAP_LIEU!$A$5:$A$10004=($J$2+11-2))*(NHAP_LIEU!$B$5:$B$10004=$A20),0),0)),CAU_HINH_CA!$A$5:$A$50,0))*INDEX(NHAP_LIEU!$E$5:$E$10004,MATCH(1,INDEX((NHAP_LIEU!$A$5:$A$10004=($J$2+11-2))*(NHAP_LIEU!$B$5:$B$10004=$A20),0),0)),0),""))</f>
        <v/>
      </c>
      <c r="L20" s="55" t="str">
        <f aca="false">IF(L9="","",IFERROR(L9/ROUND(INDEX(CAU_HINH_CA!$C$5:$C$50,MATCH(INDEX(NHAP_LIEU!$D$5:$D$10004,MATCH(1,INDEX((NHAP_LIEU!$A$5:$A$10004=($J$2+12-2))*(NHAP_LIEU!$B$5:$B$10004=$A20),0),0)),CAU_HINH_CA!$A$5:$A$50,0))*INDEX(NHAP_LIEU!$E$5:$E$10004,MATCH(1,INDEX((NHAP_LIEU!$A$5:$A$10004=($J$2+12-2))*(NHAP_LIEU!$B$5:$B$10004=$A20),0),0)),0),""))</f>
        <v/>
      </c>
      <c r="M20" s="55" t="str">
        <f aca="false">IF(M9="","",IFERROR(M9/ROUND(INDEX(CAU_HINH_CA!$C$5:$C$50,MATCH(INDEX(NHAP_LIEU!$D$5:$D$10004,MATCH(1,INDEX((NHAP_LIEU!$A$5:$A$10004=($J$2+13-2))*(NHAP_LIEU!$B$5:$B$10004=$A20),0),0)),CAU_HINH_CA!$A$5:$A$50,0))*INDEX(NHAP_LIEU!$E$5:$E$10004,MATCH(1,INDEX((NHAP_LIEU!$A$5:$A$10004=($J$2+13-2))*(NHAP_LIEU!$B$5:$B$10004=$A20),0),0)),0),""))</f>
        <v/>
      </c>
      <c r="N20" s="55" t="str">
        <f aca="false">IF(N9="","",IFERROR(N9/ROUND(INDEX(CAU_HINH_CA!$C$5:$C$50,MATCH(INDEX(NHAP_LIEU!$D$5:$D$10004,MATCH(1,INDEX((NHAP_LIEU!$A$5:$A$10004=($J$2+14-2))*(NHAP_LIEU!$B$5:$B$10004=$A20),0),0)),CAU_HINH_CA!$A$5:$A$50,0))*INDEX(NHAP_LIEU!$E$5:$E$10004,MATCH(1,INDEX((NHAP_LIEU!$A$5:$A$10004=($J$2+14-2))*(NHAP_LIEU!$B$5:$B$10004=$A20),0),0)),0),""))</f>
        <v/>
      </c>
      <c r="O20" s="55" t="str">
        <f aca="false">IF(O9="","",IFERROR(O9/ROUND(INDEX(CAU_HINH_CA!$C$5:$C$50,MATCH(INDEX(NHAP_LIEU!$D$5:$D$10004,MATCH(1,INDEX((NHAP_LIEU!$A$5:$A$10004=($J$2+15-2))*(NHAP_LIEU!$B$5:$B$10004=$A20),0),0)),CAU_HINH_CA!$A$5:$A$50,0))*INDEX(NHAP_LIEU!$E$5:$E$10004,MATCH(1,INDEX((NHAP_LIEU!$A$5:$A$10004=($J$2+15-2))*(NHAP_LIEU!$B$5:$B$10004=$A20),0),0)),0),""))</f>
        <v/>
      </c>
      <c r="P20" s="55" t="str">
        <f aca="false">IF(P9="","",IFERROR(P9/ROUND(INDEX(CAU_HINH_CA!$C$5:$C$50,MATCH(INDEX(NHAP_LIEU!$D$5:$D$10004,MATCH(1,INDEX((NHAP_LIEU!$A$5:$A$10004=($J$2+16-2))*(NHAP_LIEU!$B$5:$B$10004=$A20),0),0)),CAU_HINH_CA!$A$5:$A$50,0))*INDEX(NHAP_LIEU!$E$5:$E$10004,MATCH(1,INDEX((NHAP_LIEU!$A$5:$A$10004=($J$2+16-2))*(NHAP_LIEU!$B$5:$B$10004=$A20),0),0)),0),""))</f>
        <v/>
      </c>
      <c r="Q20" s="55" t="str">
        <f aca="false">IF(Q9="","",IFERROR(Q9/ROUND(INDEX(CAU_HINH_CA!$C$5:$C$50,MATCH(INDEX(NHAP_LIEU!$D$5:$D$10004,MATCH(1,INDEX((NHAP_LIEU!$A$5:$A$10004=($J$2+17-2))*(NHAP_LIEU!$B$5:$B$10004=$A20),0),0)),CAU_HINH_CA!$A$5:$A$50,0))*INDEX(NHAP_LIEU!$E$5:$E$10004,MATCH(1,INDEX((NHAP_LIEU!$A$5:$A$10004=($J$2+17-2))*(NHAP_LIEU!$B$5:$B$10004=$A20),0),0)),0),""))</f>
        <v/>
      </c>
      <c r="R20" s="55" t="str">
        <f aca="false">IF(R9="","",IFERROR(R9/ROUND(INDEX(CAU_HINH_CA!$C$5:$C$50,MATCH(INDEX(NHAP_LIEU!$D$5:$D$10004,MATCH(1,INDEX((NHAP_LIEU!$A$5:$A$10004=($J$2+18-2))*(NHAP_LIEU!$B$5:$B$10004=$A20),0),0)),CAU_HINH_CA!$A$5:$A$50,0))*INDEX(NHAP_LIEU!$E$5:$E$10004,MATCH(1,INDEX((NHAP_LIEU!$A$5:$A$10004=($J$2+18-2))*(NHAP_LIEU!$B$5:$B$10004=$A20),0),0)),0),""))</f>
        <v/>
      </c>
      <c r="S20" s="55" t="str">
        <f aca="false">IF(S9="","",IFERROR(S9/ROUND(INDEX(CAU_HINH_CA!$C$5:$C$50,MATCH(INDEX(NHAP_LIEU!$D$5:$D$10004,MATCH(1,INDEX((NHAP_LIEU!$A$5:$A$10004=($J$2+19-2))*(NHAP_LIEU!$B$5:$B$10004=$A20),0),0)),CAU_HINH_CA!$A$5:$A$50,0))*INDEX(NHAP_LIEU!$E$5:$E$10004,MATCH(1,INDEX((NHAP_LIEU!$A$5:$A$10004=($J$2+19-2))*(NHAP_LIEU!$B$5:$B$10004=$A20),0),0)),0),""))</f>
        <v/>
      </c>
      <c r="T20" s="55" t="str">
        <f aca="false">IF(T9="","",IFERROR(T9/ROUND(INDEX(CAU_HINH_CA!$C$5:$C$50,MATCH(INDEX(NHAP_LIEU!$D$5:$D$10004,MATCH(1,INDEX((NHAP_LIEU!$A$5:$A$10004=($J$2+20-2))*(NHAP_LIEU!$B$5:$B$10004=$A20),0),0)),CAU_HINH_CA!$A$5:$A$50,0))*INDEX(NHAP_LIEU!$E$5:$E$10004,MATCH(1,INDEX((NHAP_LIEU!$A$5:$A$10004=($J$2+20-2))*(NHAP_LIEU!$B$5:$B$10004=$A20),0),0)),0),""))</f>
        <v/>
      </c>
      <c r="U20" s="55" t="str">
        <f aca="false">IF(U9="","",IFERROR(U9/ROUND(INDEX(CAU_HINH_CA!$C$5:$C$50,MATCH(INDEX(NHAP_LIEU!$D$5:$D$10004,MATCH(1,INDEX((NHAP_LIEU!$A$5:$A$10004=($J$2+21-2))*(NHAP_LIEU!$B$5:$B$10004=$A20),0),0)),CAU_HINH_CA!$A$5:$A$50,0))*INDEX(NHAP_LIEU!$E$5:$E$10004,MATCH(1,INDEX((NHAP_LIEU!$A$5:$A$10004=($J$2+21-2))*(NHAP_LIEU!$B$5:$B$10004=$A20),0),0)),0),""))</f>
        <v/>
      </c>
      <c r="V20" s="55" t="str">
        <f aca="false">IF(V9="","",IFERROR(V9/ROUND(INDEX(CAU_HINH_CA!$C$5:$C$50,MATCH(INDEX(NHAP_LIEU!$D$5:$D$10004,MATCH(1,INDEX((NHAP_LIEU!$A$5:$A$10004=($J$2+22-2))*(NHAP_LIEU!$B$5:$B$10004=$A20),0),0)),CAU_HINH_CA!$A$5:$A$50,0))*INDEX(NHAP_LIEU!$E$5:$E$10004,MATCH(1,INDEX((NHAP_LIEU!$A$5:$A$10004=($J$2+22-2))*(NHAP_LIEU!$B$5:$B$10004=$A20),0),0)),0),""))</f>
        <v/>
      </c>
      <c r="W20" s="55" t="str">
        <f aca="false">IF(W9="","",IFERROR(W9/ROUND(INDEX(CAU_HINH_CA!$C$5:$C$50,MATCH(INDEX(NHAP_LIEU!$D$5:$D$10004,MATCH(1,INDEX((NHAP_LIEU!$A$5:$A$10004=($J$2+23-2))*(NHAP_LIEU!$B$5:$B$10004=$A20),0),0)),CAU_HINH_CA!$A$5:$A$50,0))*INDEX(NHAP_LIEU!$E$5:$E$10004,MATCH(1,INDEX((NHAP_LIEU!$A$5:$A$10004=($J$2+23-2))*(NHAP_LIEU!$B$5:$B$10004=$A20),0),0)),0),""))</f>
        <v/>
      </c>
      <c r="X20" s="55" t="str">
        <f aca="false">IF(X9="","",IFERROR(X9/ROUND(INDEX(CAU_HINH_CA!$C$5:$C$50,MATCH(INDEX(NHAP_LIEU!$D$5:$D$10004,MATCH(1,INDEX((NHAP_LIEU!$A$5:$A$10004=($J$2+24-2))*(NHAP_LIEU!$B$5:$B$10004=$A20),0),0)),CAU_HINH_CA!$A$5:$A$50,0))*INDEX(NHAP_LIEU!$E$5:$E$10004,MATCH(1,INDEX((NHAP_LIEU!$A$5:$A$10004=($J$2+24-2))*(NHAP_LIEU!$B$5:$B$10004=$A20),0),0)),0),""))</f>
        <v/>
      </c>
      <c r="Y20" s="55" t="str">
        <f aca="false">IF(Y9="","",IFERROR(Y9/ROUND(INDEX(CAU_HINH_CA!$C$5:$C$50,MATCH(INDEX(NHAP_LIEU!$D$5:$D$10004,MATCH(1,INDEX((NHAP_LIEU!$A$5:$A$10004=($J$2+25-2))*(NHAP_LIEU!$B$5:$B$10004=$A20),0),0)),CAU_HINH_CA!$A$5:$A$50,0))*INDEX(NHAP_LIEU!$E$5:$E$10004,MATCH(1,INDEX((NHAP_LIEU!$A$5:$A$10004=($J$2+25-2))*(NHAP_LIEU!$B$5:$B$10004=$A20),0),0)),0),""))</f>
        <v/>
      </c>
      <c r="Z20" s="55" t="str">
        <f aca="false">IF(Z9="","",IFERROR(Z9/ROUND(INDEX(CAU_HINH_CA!$C$5:$C$50,MATCH(INDEX(NHAP_LIEU!$D$5:$D$10004,MATCH(1,INDEX((NHAP_LIEU!$A$5:$A$10004=($J$2+26-2))*(NHAP_LIEU!$B$5:$B$10004=$A20),0),0)),CAU_HINH_CA!$A$5:$A$50,0))*INDEX(NHAP_LIEU!$E$5:$E$10004,MATCH(1,INDEX((NHAP_LIEU!$A$5:$A$10004=($J$2+26-2))*(NHAP_LIEU!$B$5:$B$10004=$A20),0),0)),0),""))</f>
        <v/>
      </c>
      <c r="AA20" s="55" t="str">
        <f aca="false">IF(AA9="","",IFERROR(AA9/ROUND(INDEX(CAU_HINH_CA!$C$5:$C$50,MATCH(INDEX(NHAP_LIEU!$D$5:$D$10004,MATCH(1,INDEX((NHAP_LIEU!$A$5:$A$10004=($J$2+27-2))*(NHAP_LIEU!$B$5:$B$10004=$A20),0),0)),CAU_HINH_CA!$A$5:$A$50,0))*INDEX(NHAP_LIEU!$E$5:$E$10004,MATCH(1,INDEX((NHAP_LIEU!$A$5:$A$10004=($J$2+27-2))*(NHAP_LIEU!$B$5:$B$10004=$A20),0),0)),0),""))</f>
        <v/>
      </c>
      <c r="AB20" s="55" t="str">
        <f aca="false">IF(AB9="","",IFERROR(AB9/ROUND(INDEX(CAU_HINH_CA!$C$5:$C$50,MATCH(INDEX(NHAP_LIEU!$D$5:$D$10004,MATCH(1,INDEX((NHAP_LIEU!$A$5:$A$10004=($J$2+28-2))*(NHAP_LIEU!$B$5:$B$10004=$A20),0),0)),CAU_HINH_CA!$A$5:$A$50,0))*INDEX(NHAP_LIEU!$E$5:$E$10004,MATCH(1,INDEX((NHAP_LIEU!$A$5:$A$10004=($J$2+28-2))*(NHAP_LIEU!$B$5:$B$10004=$A20),0),0)),0),""))</f>
        <v/>
      </c>
      <c r="AC20" s="55" t="str">
        <f aca="false">IF(AC9="","",IFERROR(AC9/ROUND(INDEX(CAU_HINH_CA!$C$5:$C$50,MATCH(INDEX(NHAP_LIEU!$D$5:$D$10004,MATCH(1,INDEX((NHAP_LIEU!$A$5:$A$10004=($J$2+29-2))*(NHAP_LIEU!$B$5:$B$10004=$A20),0),0)),CAU_HINH_CA!$A$5:$A$50,0))*INDEX(NHAP_LIEU!$E$5:$E$10004,MATCH(1,INDEX((NHAP_LIEU!$A$5:$A$10004=($J$2+29-2))*(NHAP_LIEU!$B$5:$B$10004=$A20),0),0)),0),""))</f>
        <v/>
      </c>
      <c r="AD20" s="55" t="str">
        <f aca="false">IF(AD9="","",IFERROR(AD9/ROUND(INDEX(CAU_HINH_CA!$C$5:$C$50,MATCH(INDEX(NHAP_LIEU!$D$5:$D$10004,MATCH(1,INDEX((NHAP_LIEU!$A$5:$A$10004=($J$2+30-2))*(NHAP_LIEU!$B$5:$B$10004=$A20),0),0)),CAU_HINH_CA!$A$5:$A$50,0))*INDEX(NHAP_LIEU!$E$5:$E$10004,MATCH(1,INDEX((NHAP_LIEU!$A$5:$A$10004=($J$2+30-2))*(NHAP_LIEU!$B$5:$B$10004=$A20),0),0)),0),""))</f>
        <v/>
      </c>
      <c r="AE20" s="55" t="str">
        <f aca="false">IF(AE9="","",IFERROR(AE9/ROUND(INDEX(CAU_HINH_CA!$C$5:$C$50,MATCH(INDEX(NHAP_LIEU!$D$5:$D$10004,MATCH(1,INDEX((NHAP_LIEU!$A$5:$A$10004=($J$2+31-2))*(NHAP_LIEU!$B$5:$B$10004=$A20),0),0)),CAU_HINH_CA!$A$5:$A$50,0))*INDEX(NHAP_LIEU!$E$5:$E$10004,MATCH(1,INDEX((NHAP_LIEU!$A$5:$A$10004=($J$2+31-2))*(NHAP_LIEU!$B$5:$B$10004=$A20),0),0)),0),""))</f>
        <v/>
      </c>
      <c r="AF20" s="55" t="str">
        <f aca="false">IF(AF9="","",IFERROR(AF9/ROUND(INDEX(CAU_HINH_CA!$C$5:$C$50,MATCH(INDEX(NHAP_LIEU!$D$5:$D$10004,MATCH(1,INDEX((NHAP_LIEU!$A$5:$A$10004=($J$2+32-2))*(NHAP_LIEU!$B$5:$B$10004=$A20),0),0)),CAU_HINH_CA!$A$5:$A$50,0))*INDEX(NHAP_LIEU!$E$5:$E$10004,MATCH(1,INDEX((NHAP_LIEU!$A$5:$A$10004=($J$2+32-2))*(NHAP_LIEU!$B$5:$B$10004=$A20),0),0)),0),""))</f>
        <v/>
      </c>
    </row>
    <row r="21" customFormat="false" ht="15" hidden="false" customHeight="false" outlineLevel="0" collapsed="false">
      <c r="A21" s="51" t="str">
        <f aca="false">A10</f>
        <v>Chuyền 5</v>
      </c>
      <c r="B21" s="55" t="str">
        <f aca="false">IF(B10="","",IFERROR(B10/ROUND(INDEX(CAU_HINH_CA!$C$5:$C$50,MATCH(INDEX(NHAP_LIEU!$D$5:$D$10004,MATCH(1,INDEX((NHAP_LIEU!$A$5:$A$10004=($J$2+2-2))*(NHAP_LIEU!$B$5:$B$10004=$A21),0),0)),CAU_HINH_CA!$A$5:$A$50,0))*INDEX(NHAP_LIEU!$E$5:$E$10004,MATCH(1,INDEX((NHAP_LIEU!$A$5:$A$10004=($J$2+2-2))*(NHAP_LIEU!$B$5:$B$10004=$A21),0),0)),0),""))</f>
        <v/>
      </c>
      <c r="C21" s="55" t="str">
        <f aca="false">IF(C10="","",IFERROR(C10/ROUND(INDEX(CAU_HINH_CA!$C$5:$C$50,MATCH(INDEX(NHAP_LIEU!$D$5:$D$10004,MATCH(1,INDEX((NHAP_LIEU!$A$5:$A$10004=($J$2+3-2))*(NHAP_LIEU!$B$5:$B$10004=$A21),0),0)),CAU_HINH_CA!$A$5:$A$50,0))*INDEX(NHAP_LIEU!$E$5:$E$10004,MATCH(1,INDEX((NHAP_LIEU!$A$5:$A$10004=($J$2+3-2))*(NHAP_LIEU!$B$5:$B$10004=$A21),0),0)),0),""))</f>
        <v/>
      </c>
      <c r="D21" s="55" t="str">
        <f aca="false">IF(D10="","",IFERROR(D10/ROUND(INDEX(CAU_HINH_CA!$C$5:$C$50,MATCH(INDEX(NHAP_LIEU!$D$5:$D$10004,MATCH(1,INDEX((NHAP_LIEU!$A$5:$A$10004=($J$2+4-2))*(NHAP_LIEU!$B$5:$B$10004=$A21),0),0)),CAU_HINH_CA!$A$5:$A$50,0))*INDEX(NHAP_LIEU!$E$5:$E$10004,MATCH(1,INDEX((NHAP_LIEU!$A$5:$A$10004=($J$2+4-2))*(NHAP_LIEU!$B$5:$B$10004=$A21),0),0)),0),""))</f>
        <v/>
      </c>
      <c r="E21" s="55" t="str">
        <f aca="false">IF(E10="","",IFERROR(E10/ROUND(INDEX(CAU_HINH_CA!$C$5:$C$50,MATCH(INDEX(NHAP_LIEU!$D$5:$D$10004,MATCH(1,INDEX((NHAP_LIEU!$A$5:$A$10004=($J$2+5-2))*(NHAP_LIEU!$B$5:$B$10004=$A21),0),0)),CAU_HINH_CA!$A$5:$A$50,0))*INDEX(NHAP_LIEU!$E$5:$E$10004,MATCH(1,INDEX((NHAP_LIEU!$A$5:$A$10004=($J$2+5-2))*(NHAP_LIEU!$B$5:$B$10004=$A21),0),0)),0),""))</f>
        <v/>
      </c>
      <c r="F21" s="55" t="str">
        <f aca="false">IF(F10="","",IFERROR(F10/ROUND(INDEX(CAU_HINH_CA!$C$5:$C$50,MATCH(INDEX(NHAP_LIEU!$D$5:$D$10004,MATCH(1,INDEX((NHAP_LIEU!$A$5:$A$10004=($J$2+6-2))*(NHAP_LIEU!$B$5:$B$10004=$A21),0),0)),CAU_HINH_CA!$A$5:$A$50,0))*INDEX(NHAP_LIEU!$E$5:$E$10004,MATCH(1,INDEX((NHAP_LIEU!$A$5:$A$10004=($J$2+6-2))*(NHAP_LIEU!$B$5:$B$10004=$A21),0),0)),0),""))</f>
        <v/>
      </c>
      <c r="G21" s="55" t="str">
        <f aca="false">IF(G10="","",IFERROR(G10/ROUND(INDEX(CAU_HINH_CA!$C$5:$C$50,MATCH(INDEX(NHAP_LIEU!$D$5:$D$10004,MATCH(1,INDEX((NHAP_LIEU!$A$5:$A$10004=($J$2+7-2))*(NHAP_LIEU!$B$5:$B$10004=$A21),0),0)),CAU_HINH_CA!$A$5:$A$50,0))*INDEX(NHAP_LIEU!$E$5:$E$10004,MATCH(1,INDEX((NHAP_LIEU!$A$5:$A$10004=($J$2+7-2))*(NHAP_LIEU!$B$5:$B$10004=$A21),0),0)),0),""))</f>
        <v/>
      </c>
      <c r="H21" s="55" t="str">
        <f aca="false">IF(H10="","",IFERROR(H10/ROUND(INDEX(CAU_HINH_CA!$C$5:$C$50,MATCH(INDEX(NHAP_LIEU!$D$5:$D$10004,MATCH(1,INDEX((NHAP_LIEU!$A$5:$A$10004=($J$2+8-2))*(NHAP_LIEU!$B$5:$B$10004=$A21),0),0)),CAU_HINH_CA!$A$5:$A$50,0))*INDEX(NHAP_LIEU!$E$5:$E$10004,MATCH(1,INDEX((NHAP_LIEU!$A$5:$A$10004=($J$2+8-2))*(NHAP_LIEU!$B$5:$B$10004=$A21),0),0)),0),""))</f>
        <v/>
      </c>
      <c r="I21" s="55" t="str">
        <f aca="false">IF(I10="","",IFERROR(I10/ROUND(INDEX(CAU_HINH_CA!$C$5:$C$50,MATCH(INDEX(NHAP_LIEU!$D$5:$D$10004,MATCH(1,INDEX((NHAP_LIEU!$A$5:$A$10004=($J$2+9-2))*(NHAP_LIEU!$B$5:$B$10004=$A21),0),0)),CAU_HINH_CA!$A$5:$A$50,0))*INDEX(NHAP_LIEU!$E$5:$E$10004,MATCH(1,INDEX((NHAP_LIEU!$A$5:$A$10004=($J$2+9-2))*(NHAP_LIEU!$B$5:$B$10004=$A21),0),0)),0),""))</f>
        <v/>
      </c>
      <c r="J21" s="55" t="str">
        <f aca="false">IF(J10="","",IFERROR(J10/ROUND(INDEX(CAU_HINH_CA!$C$5:$C$50,MATCH(INDEX(NHAP_LIEU!$D$5:$D$10004,MATCH(1,INDEX((NHAP_LIEU!$A$5:$A$10004=($J$2+10-2))*(NHAP_LIEU!$B$5:$B$10004=$A21),0),0)),CAU_HINH_CA!$A$5:$A$50,0))*INDEX(NHAP_LIEU!$E$5:$E$10004,MATCH(1,INDEX((NHAP_LIEU!$A$5:$A$10004=($J$2+10-2))*(NHAP_LIEU!$B$5:$B$10004=$A21),0),0)),0),""))</f>
        <v/>
      </c>
      <c r="K21" s="55" t="str">
        <f aca="false">IF(K10="","",IFERROR(K10/ROUND(INDEX(CAU_HINH_CA!$C$5:$C$50,MATCH(INDEX(NHAP_LIEU!$D$5:$D$10004,MATCH(1,INDEX((NHAP_LIEU!$A$5:$A$10004=($J$2+11-2))*(NHAP_LIEU!$B$5:$B$10004=$A21),0),0)),CAU_HINH_CA!$A$5:$A$50,0))*INDEX(NHAP_LIEU!$E$5:$E$10004,MATCH(1,INDEX((NHAP_LIEU!$A$5:$A$10004=($J$2+11-2))*(NHAP_LIEU!$B$5:$B$10004=$A21),0),0)),0),""))</f>
        <v/>
      </c>
      <c r="L21" s="55" t="str">
        <f aca="false">IF(L10="","",IFERROR(L10/ROUND(INDEX(CAU_HINH_CA!$C$5:$C$50,MATCH(INDEX(NHAP_LIEU!$D$5:$D$10004,MATCH(1,INDEX((NHAP_LIEU!$A$5:$A$10004=($J$2+12-2))*(NHAP_LIEU!$B$5:$B$10004=$A21),0),0)),CAU_HINH_CA!$A$5:$A$50,0))*INDEX(NHAP_LIEU!$E$5:$E$10004,MATCH(1,INDEX((NHAP_LIEU!$A$5:$A$10004=($J$2+12-2))*(NHAP_LIEU!$B$5:$B$10004=$A21),0),0)),0),""))</f>
        <v/>
      </c>
      <c r="M21" s="55" t="str">
        <f aca="false">IF(M10="","",IFERROR(M10/ROUND(INDEX(CAU_HINH_CA!$C$5:$C$50,MATCH(INDEX(NHAP_LIEU!$D$5:$D$10004,MATCH(1,INDEX((NHAP_LIEU!$A$5:$A$10004=($J$2+13-2))*(NHAP_LIEU!$B$5:$B$10004=$A21),0),0)),CAU_HINH_CA!$A$5:$A$50,0))*INDEX(NHAP_LIEU!$E$5:$E$10004,MATCH(1,INDEX((NHAP_LIEU!$A$5:$A$10004=($J$2+13-2))*(NHAP_LIEU!$B$5:$B$10004=$A21),0),0)),0),""))</f>
        <v/>
      </c>
      <c r="N21" s="55" t="str">
        <f aca="false">IF(N10="","",IFERROR(N10/ROUND(INDEX(CAU_HINH_CA!$C$5:$C$50,MATCH(INDEX(NHAP_LIEU!$D$5:$D$10004,MATCH(1,INDEX((NHAP_LIEU!$A$5:$A$10004=($J$2+14-2))*(NHAP_LIEU!$B$5:$B$10004=$A21),0),0)),CAU_HINH_CA!$A$5:$A$50,0))*INDEX(NHAP_LIEU!$E$5:$E$10004,MATCH(1,INDEX((NHAP_LIEU!$A$5:$A$10004=($J$2+14-2))*(NHAP_LIEU!$B$5:$B$10004=$A21),0),0)),0),""))</f>
        <v/>
      </c>
      <c r="O21" s="55" t="str">
        <f aca="false">IF(O10="","",IFERROR(O10/ROUND(INDEX(CAU_HINH_CA!$C$5:$C$50,MATCH(INDEX(NHAP_LIEU!$D$5:$D$10004,MATCH(1,INDEX((NHAP_LIEU!$A$5:$A$10004=($J$2+15-2))*(NHAP_LIEU!$B$5:$B$10004=$A21),0),0)),CAU_HINH_CA!$A$5:$A$50,0))*INDEX(NHAP_LIEU!$E$5:$E$10004,MATCH(1,INDEX((NHAP_LIEU!$A$5:$A$10004=($J$2+15-2))*(NHAP_LIEU!$B$5:$B$10004=$A21),0),0)),0),""))</f>
        <v/>
      </c>
      <c r="P21" s="55" t="str">
        <f aca="false">IF(P10="","",IFERROR(P10/ROUND(INDEX(CAU_HINH_CA!$C$5:$C$50,MATCH(INDEX(NHAP_LIEU!$D$5:$D$10004,MATCH(1,INDEX((NHAP_LIEU!$A$5:$A$10004=($J$2+16-2))*(NHAP_LIEU!$B$5:$B$10004=$A21),0),0)),CAU_HINH_CA!$A$5:$A$50,0))*INDEX(NHAP_LIEU!$E$5:$E$10004,MATCH(1,INDEX((NHAP_LIEU!$A$5:$A$10004=($J$2+16-2))*(NHAP_LIEU!$B$5:$B$10004=$A21),0),0)),0),""))</f>
        <v/>
      </c>
      <c r="Q21" s="55" t="str">
        <f aca="false">IF(Q10="","",IFERROR(Q10/ROUND(INDEX(CAU_HINH_CA!$C$5:$C$50,MATCH(INDEX(NHAP_LIEU!$D$5:$D$10004,MATCH(1,INDEX((NHAP_LIEU!$A$5:$A$10004=($J$2+17-2))*(NHAP_LIEU!$B$5:$B$10004=$A21),0),0)),CAU_HINH_CA!$A$5:$A$50,0))*INDEX(NHAP_LIEU!$E$5:$E$10004,MATCH(1,INDEX((NHAP_LIEU!$A$5:$A$10004=($J$2+17-2))*(NHAP_LIEU!$B$5:$B$10004=$A21),0),0)),0),""))</f>
        <v/>
      </c>
      <c r="R21" s="55" t="str">
        <f aca="false">IF(R10="","",IFERROR(R10/ROUND(INDEX(CAU_HINH_CA!$C$5:$C$50,MATCH(INDEX(NHAP_LIEU!$D$5:$D$10004,MATCH(1,INDEX((NHAP_LIEU!$A$5:$A$10004=($J$2+18-2))*(NHAP_LIEU!$B$5:$B$10004=$A21),0),0)),CAU_HINH_CA!$A$5:$A$50,0))*INDEX(NHAP_LIEU!$E$5:$E$10004,MATCH(1,INDEX((NHAP_LIEU!$A$5:$A$10004=($J$2+18-2))*(NHAP_LIEU!$B$5:$B$10004=$A21),0),0)),0),""))</f>
        <v/>
      </c>
      <c r="S21" s="55" t="str">
        <f aca="false">IF(S10="","",IFERROR(S10/ROUND(INDEX(CAU_HINH_CA!$C$5:$C$50,MATCH(INDEX(NHAP_LIEU!$D$5:$D$10004,MATCH(1,INDEX((NHAP_LIEU!$A$5:$A$10004=($J$2+19-2))*(NHAP_LIEU!$B$5:$B$10004=$A21),0),0)),CAU_HINH_CA!$A$5:$A$50,0))*INDEX(NHAP_LIEU!$E$5:$E$10004,MATCH(1,INDEX((NHAP_LIEU!$A$5:$A$10004=($J$2+19-2))*(NHAP_LIEU!$B$5:$B$10004=$A21),0),0)),0),""))</f>
        <v/>
      </c>
      <c r="T21" s="55" t="str">
        <f aca="false">IF(T10="","",IFERROR(T10/ROUND(INDEX(CAU_HINH_CA!$C$5:$C$50,MATCH(INDEX(NHAP_LIEU!$D$5:$D$10004,MATCH(1,INDEX((NHAP_LIEU!$A$5:$A$10004=($J$2+20-2))*(NHAP_LIEU!$B$5:$B$10004=$A21),0),0)),CAU_HINH_CA!$A$5:$A$50,0))*INDEX(NHAP_LIEU!$E$5:$E$10004,MATCH(1,INDEX((NHAP_LIEU!$A$5:$A$10004=($J$2+20-2))*(NHAP_LIEU!$B$5:$B$10004=$A21),0),0)),0),""))</f>
        <v/>
      </c>
      <c r="U21" s="55" t="str">
        <f aca="false">IF(U10="","",IFERROR(U10/ROUND(INDEX(CAU_HINH_CA!$C$5:$C$50,MATCH(INDEX(NHAP_LIEU!$D$5:$D$10004,MATCH(1,INDEX((NHAP_LIEU!$A$5:$A$10004=($J$2+21-2))*(NHAP_LIEU!$B$5:$B$10004=$A21),0),0)),CAU_HINH_CA!$A$5:$A$50,0))*INDEX(NHAP_LIEU!$E$5:$E$10004,MATCH(1,INDEX((NHAP_LIEU!$A$5:$A$10004=($J$2+21-2))*(NHAP_LIEU!$B$5:$B$10004=$A21),0),0)),0),""))</f>
        <v/>
      </c>
      <c r="V21" s="55" t="str">
        <f aca="false">IF(V10="","",IFERROR(V10/ROUND(INDEX(CAU_HINH_CA!$C$5:$C$50,MATCH(INDEX(NHAP_LIEU!$D$5:$D$10004,MATCH(1,INDEX((NHAP_LIEU!$A$5:$A$10004=($J$2+22-2))*(NHAP_LIEU!$B$5:$B$10004=$A21),0),0)),CAU_HINH_CA!$A$5:$A$50,0))*INDEX(NHAP_LIEU!$E$5:$E$10004,MATCH(1,INDEX((NHAP_LIEU!$A$5:$A$10004=($J$2+22-2))*(NHAP_LIEU!$B$5:$B$10004=$A21),0),0)),0),""))</f>
        <v/>
      </c>
      <c r="W21" s="55" t="str">
        <f aca="false">IF(W10="","",IFERROR(W10/ROUND(INDEX(CAU_HINH_CA!$C$5:$C$50,MATCH(INDEX(NHAP_LIEU!$D$5:$D$10004,MATCH(1,INDEX((NHAP_LIEU!$A$5:$A$10004=($J$2+23-2))*(NHAP_LIEU!$B$5:$B$10004=$A21),0),0)),CAU_HINH_CA!$A$5:$A$50,0))*INDEX(NHAP_LIEU!$E$5:$E$10004,MATCH(1,INDEX((NHAP_LIEU!$A$5:$A$10004=($J$2+23-2))*(NHAP_LIEU!$B$5:$B$10004=$A21),0),0)),0),""))</f>
        <v/>
      </c>
      <c r="X21" s="55" t="str">
        <f aca="false">IF(X10="","",IFERROR(X10/ROUND(INDEX(CAU_HINH_CA!$C$5:$C$50,MATCH(INDEX(NHAP_LIEU!$D$5:$D$10004,MATCH(1,INDEX((NHAP_LIEU!$A$5:$A$10004=($J$2+24-2))*(NHAP_LIEU!$B$5:$B$10004=$A21),0),0)),CAU_HINH_CA!$A$5:$A$50,0))*INDEX(NHAP_LIEU!$E$5:$E$10004,MATCH(1,INDEX((NHAP_LIEU!$A$5:$A$10004=($J$2+24-2))*(NHAP_LIEU!$B$5:$B$10004=$A21),0),0)),0),""))</f>
        <v/>
      </c>
      <c r="Y21" s="55" t="str">
        <f aca="false">IF(Y10="","",IFERROR(Y10/ROUND(INDEX(CAU_HINH_CA!$C$5:$C$50,MATCH(INDEX(NHAP_LIEU!$D$5:$D$10004,MATCH(1,INDEX((NHAP_LIEU!$A$5:$A$10004=($J$2+25-2))*(NHAP_LIEU!$B$5:$B$10004=$A21),0),0)),CAU_HINH_CA!$A$5:$A$50,0))*INDEX(NHAP_LIEU!$E$5:$E$10004,MATCH(1,INDEX((NHAP_LIEU!$A$5:$A$10004=($J$2+25-2))*(NHAP_LIEU!$B$5:$B$10004=$A21),0),0)),0),""))</f>
        <v/>
      </c>
      <c r="Z21" s="55" t="str">
        <f aca="false">IF(Z10="","",IFERROR(Z10/ROUND(INDEX(CAU_HINH_CA!$C$5:$C$50,MATCH(INDEX(NHAP_LIEU!$D$5:$D$10004,MATCH(1,INDEX((NHAP_LIEU!$A$5:$A$10004=($J$2+26-2))*(NHAP_LIEU!$B$5:$B$10004=$A21),0),0)),CAU_HINH_CA!$A$5:$A$50,0))*INDEX(NHAP_LIEU!$E$5:$E$10004,MATCH(1,INDEX((NHAP_LIEU!$A$5:$A$10004=($J$2+26-2))*(NHAP_LIEU!$B$5:$B$10004=$A21),0),0)),0),""))</f>
        <v/>
      </c>
      <c r="AA21" s="55" t="str">
        <f aca="false">IF(AA10="","",IFERROR(AA10/ROUND(INDEX(CAU_HINH_CA!$C$5:$C$50,MATCH(INDEX(NHAP_LIEU!$D$5:$D$10004,MATCH(1,INDEX((NHAP_LIEU!$A$5:$A$10004=($J$2+27-2))*(NHAP_LIEU!$B$5:$B$10004=$A21),0),0)),CAU_HINH_CA!$A$5:$A$50,0))*INDEX(NHAP_LIEU!$E$5:$E$10004,MATCH(1,INDEX((NHAP_LIEU!$A$5:$A$10004=($J$2+27-2))*(NHAP_LIEU!$B$5:$B$10004=$A21),0),0)),0),""))</f>
        <v/>
      </c>
      <c r="AB21" s="55" t="str">
        <f aca="false">IF(AB10="","",IFERROR(AB10/ROUND(INDEX(CAU_HINH_CA!$C$5:$C$50,MATCH(INDEX(NHAP_LIEU!$D$5:$D$10004,MATCH(1,INDEX((NHAP_LIEU!$A$5:$A$10004=($J$2+28-2))*(NHAP_LIEU!$B$5:$B$10004=$A21),0),0)),CAU_HINH_CA!$A$5:$A$50,0))*INDEX(NHAP_LIEU!$E$5:$E$10004,MATCH(1,INDEX((NHAP_LIEU!$A$5:$A$10004=($J$2+28-2))*(NHAP_LIEU!$B$5:$B$10004=$A21),0),0)),0),""))</f>
        <v/>
      </c>
      <c r="AC21" s="55" t="str">
        <f aca="false">IF(AC10="","",IFERROR(AC10/ROUND(INDEX(CAU_HINH_CA!$C$5:$C$50,MATCH(INDEX(NHAP_LIEU!$D$5:$D$10004,MATCH(1,INDEX((NHAP_LIEU!$A$5:$A$10004=($J$2+29-2))*(NHAP_LIEU!$B$5:$B$10004=$A21),0),0)),CAU_HINH_CA!$A$5:$A$50,0))*INDEX(NHAP_LIEU!$E$5:$E$10004,MATCH(1,INDEX((NHAP_LIEU!$A$5:$A$10004=($J$2+29-2))*(NHAP_LIEU!$B$5:$B$10004=$A21),0),0)),0),""))</f>
        <v/>
      </c>
      <c r="AD21" s="55" t="str">
        <f aca="false">IF(AD10="","",IFERROR(AD10/ROUND(INDEX(CAU_HINH_CA!$C$5:$C$50,MATCH(INDEX(NHAP_LIEU!$D$5:$D$10004,MATCH(1,INDEX((NHAP_LIEU!$A$5:$A$10004=($J$2+30-2))*(NHAP_LIEU!$B$5:$B$10004=$A21),0),0)),CAU_HINH_CA!$A$5:$A$50,0))*INDEX(NHAP_LIEU!$E$5:$E$10004,MATCH(1,INDEX((NHAP_LIEU!$A$5:$A$10004=($J$2+30-2))*(NHAP_LIEU!$B$5:$B$10004=$A21),0),0)),0),""))</f>
        <v/>
      </c>
      <c r="AE21" s="55" t="str">
        <f aca="false">IF(AE10="","",IFERROR(AE10/ROUND(INDEX(CAU_HINH_CA!$C$5:$C$50,MATCH(INDEX(NHAP_LIEU!$D$5:$D$10004,MATCH(1,INDEX((NHAP_LIEU!$A$5:$A$10004=($J$2+31-2))*(NHAP_LIEU!$B$5:$B$10004=$A21),0),0)),CAU_HINH_CA!$A$5:$A$50,0))*INDEX(NHAP_LIEU!$E$5:$E$10004,MATCH(1,INDEX((NHAP_LIEU!$A$5:$A$10004=($J$2+31-2))*(NHAP_LIEU!$B$5:$B$10004=$A21),0),0)),0),""))</f>
        <v/>
      </c>
      <c r="AF21" s="55" t="str">
        <f aca="false">IF(AF10="","",IFERROR(AF10/ROUND(INDEX(CAU_HINH_CA!$C$5:$C$50,MATCH(INDEX(NHAP_LIEU!$D$5:$D$10004,MATCH(1,INDEX((NHAP_LIEU!$A$5:$A$10004=($J$2+32-2))*(NHAP_LIEU!$B$5:$B$10004=$A21),0),0)),CAU_HINH_CA!$A$5:$A$50,0))*INDEX(NHAP_LIEU!$E$5:$E$10004,MATCH(1,INDEX((NHAP_LIEU!$A$5:$A$10004=($J$2+32-2))*(NHAP_LIEU!$B$5:$B$10004=$A21),0),0)),0),""))</f>
        <v/>
      </c>
    </row>
    <row r="22" customFormat="false" ht="15" hidden="false" customHeight="false" outlineLevel="0" collapsed="false">
      <c r="A22" s="51" t="str">
        <f aca="false">A11</f>
        <v>Chuyền 6</v>
      </c>
      <c r="B22" s="55" t="n">
        <f aca="false">IF(B11="","",IFERROR(B11/ROUND(INDEX(CAU_HINH_CA!$C$5:$C$50,MATCH(INDEX(NHAP_LIEU!$D$5:$D$10004,MATCH(1,INDEX((NHAP_LIEU!$A$5:$A$10004=($J$2+2-2))*(NHAP_LIEU!$B$5:$B$10004=$A22),0),0)),CAU_HINH_CA!$A$5:$A$50,0))*INDEX(NHAP_LIEU!$E$5:$E$10004,MATCH(1,INDEX((NHAP_LIEU!$A$5:$A$10004=($J$2+2-2))*(NHAP_LIEU!$B$5:$B$10004=$A22),0),0)),0),""))</f>
        <v>0.75</v>
      </c>
      <c r="C22" s="55" t="str">
        <f aca="false">IF(C11="","",IFERROR(C11/ROUND(INDEX(CAU_HINH_CA!$C$5:$C$50,MATCH(INDEX(NHAP_LIEU!$D$5:$D$10004,MATCH(1,INDEX((NHAP_LIEU!$A$5:$A$10004=($J$2+3-2))*(NHAP_LIEU!$B$5:$B$10004=$A22),0),0)),CAU_HINH_CA!$A$5:$A$50,0))*INDEX(NHAP_LIEU!$E$5:$E$10004,MATCH(1,INDEX((NHAP_LIEU!$A$5:$A$10004=($J$2+3-2))*(NHAP_LIEU!$B$5:$B$10004=$A22),0),0)),0),""))</f>
        <v/>
      </c>
      <c r="D22" s="55" t="str">
        <f aca="false">IF(D11="","",IFERROR(D11/ROUND(INDEX(CAU_HINH_CA!$C$5:$C$50,MATCH(INDEX(NHAP_LIEU!$D$5:$D$10004,MATCH(1,INDEX((NHAP_LIEU!$A$5:$A$10004=($J$2+4-2))*(NHAP_LIEU!$B$5:$B$10004=$A22),0),0)),CAU_HINH_CA!$A$5:$A$50,0))*INDEX(NHAP_LIEU!$E$5:$E$10004,MATCH(1,INDEX((NHAP_LIEU!$A$5:$A$10004=($J$2+4-2))*(NHAP_LIEU!$B$5:$B$10004=$A22),0),0)),0),""))</f>
        <v/>
      </c>
      <c r="E22" s="55" t="str">
        <f aca="false">IF(E11="","",IFERROR(E11/ROUND(INDEX(CAU_HINH_CA!$C$5:$C$50,MATCH(INDEX(NHAP_LIEU!$D$5:$D$10004,MATCH(1,INDEX((NHAP_LIEU!$A$5:$A$10004=($J$2+5-2))*(NHAP_LIEU!$B$5:$B$10004=$A22),0),0)),CAU_HINH_CA!$A$5:$A$50,0))*INDEX(NHAP_LIEU!$E$5:$E$10004,MATCH(1,INDEX((NHAP_LIEU!$A$5:$A$10004=($J$2+5-2))*(NHAP_LIEU!$B$5:$B$10004=$A22),0),0)),0),""))</f>
        <v/>
      </c>
      <c r="F22" s="55" t="str">
        <f aca="false">IF(F11="","",IFERROR(F11/ROUND(INDEX(CAU_HINH_CA!$C$5:$C$50,MATCH(INDEX(NHAP_LIEU!$D$5:$D$10004,MATCH(1,INDEX((NHAP_LIEU!$A$5:$A$10004=($J$2+6-2))*(NHAP_LIEU!$B$5:$B$10004=$A22),0),0)),CAU_HINH_CA!$A$5:$A$50,0))*INDEX(NHAP_LIEU!$E$5:$E$10004,MATCH(1,INDEX((NHAP_LIEU!$A$5:$A$10004=($J$2+6-2))*(NHAP_LIEU!$B$5:$B$10004=$A22),0),0)),0),""))</f>
        <v/>
      </c>
      <c r="G22" s="55" t="str">
        <f aca="false">IF(G11="","",IFERROR(G11/ROUND(INDEX(CAU_HINH_CA!$C$5:$C$50,MATCH(INDEX(NHAP_LIEU!$D$5:$D$10004,MATCH(1,INDEX((NHAP_LIEU!$A$5:$A$10004=($J$2+7-2))*(NHAP_LIEU!$B$5:$B$10004=$A22),0),0)),CAU_HINH_CA!$A$5:$A$50,0))*INDEX(NHAP_LIEU!$E$5:$E$10004,MATCH(1,INDEX((NHAP_LIEU!$A$5:$A$10004=($J$2+7-2))*(NHAP_LIEU!$B$5:$B$10004=$A22),0),0)),0),""))</f>
        <v/>
      </c>
      <c r="H22" s="55" t="str">
        <f aca="false">IF(H11="","",IFERROR(H11/ROUND(INDEX(CAU_HINH_CA!$C$5:$C$50,MATCH(INDEX(NHAP_LIEU!$D$5:$D$10004,MATCH(1,INDEX((NHAP_LIEU!$A$5:$A$10004=($J$2+8-2))*(NHAP_LIEU!$B$5:$B$10004=$A22),0),0)),CAU_HINH_CA!$A$5:$A$50,0))*INDEX(NHAP_LIEU!$E$5:$E$10004,MATCH(1,INDEX((NHAP_LIEU!$A$5:$A$10004=($J$2+8-2))*(NHAP_LIEU!$B$5:$B$10004=$A22),0),0)),0),""))</f>
        <v/>
      </c>
      <c r="I22" s="55" t="str">
        <f aca="false">IF(I11="","",IFERROR(I11/ROUND(INDEX(CAU_HINH_CA!$C$5:$C$50,MATCH(INDEX(NHAP_LIEU!$D$5:$D$10004,MATCH(1,INDEX((NHAP_LIEU!$A$5:$A$10004=($J$2+9-2))*(NHAP_LIEU!$B$5:$B$10004=$A22),0),0)),CAU_HINH_CA!$A$5:$A$50,0))*INDEX(NHAP_LIEU!$E$5:$E$10004,MATCH(1,INDEX((NHAP_LIEU!$A$5:$A$10004=($J$2+9-2))*(NHAP_LIEU!$B$5:$B$10004=$A22),0),0)),0),""))</f>
        <v/>
      </c>
      <c r="J22" s="55" t="str">
        <f aca="false">IF(J11="","",IFERROR(J11/ROUND(INDEX(CAU_HINH_CA!$C$5:$C$50,MATCH(INDEX(NHAP_LIEU!$D$5:$D$10004,MATCH(1,INDEX((NHAP_LIEU!$A$5:$A$10004=($J$2+10-2))*(NHAP_LIEU!$B$5:$B$10004=$A22),0),0)),CAU_HINH_CA!$A$5:$A$50,0))*INDEX(NHAP_LIEU!$E$5:$E$10004,MATCH(1,INDEX((NHAP_LIEU!$A$5:$A$10004=($J$2+10-2))*(NHAP_LIEU!$B$5:$B$10004=$A22),0),0)),0),""))</f>
        <v/>
      </c>
      <c r="K22" s="55" t="str">
        <f aca="false">IF(K11="","",IFERROR(K11/ROUND(INDEX(CAU_HINH_CA!$C$5:$C$50,MATCH(INDEX(NHAP_LIEU!$D$5:$D$10004,MATCH(1,INDEX((NHAP_LIEU!$A$5:$A$10004=($J$2+11-2))*(NHAP_LIEU!$B$5:$B$10004=$A22),0),0)),CAU_HINH_CA!$A$5:$A$50,0))*INDEX(NHAP_LIEU!$E$5:$E$10004,MATCH(1,INDEX((NHAP_LIEU!$A$5:$A$10004=($J$2+11-2))*(NHAP_LIEU!$B$5:$B$10004=$A22),0),0)),0),""))</f>
        <v/>
      </c>
      <c r="L22" s="55" t="str">
        <f aca="false">IF(L11="","",IFERROR(L11/ROUND(INDEX(CAU_HINH_CA!$C$5:$C$50,MATCH(INDEX(NHAP_LIEU!$D$5:$D$10004,MATCH(1,INDEX((NHAP_LIEU!$A$5:$A$10004=($J$2+12-2))*(NHAP_LIEU!$B$5:$B$10004=$A22),0),0)),CAU_HINH_CA!$A$5:$A$50,0))*INDEX(NHAP_LIEU!$E$5:$E$10004,MATCH(1,INDEX((NHAP_LIEU!$A$5:$A$10004=($J$2+12-2))*(NHAP_LIEU!$B$5:$B$10004=$A22),0),0)),0),""))</f>
        <v/>
      </c>
      <c r="M22" s="55" t="str">
        <f aca="false">IF(M11="","",IFERROR(M11/ROUND(INDEX(CAU_HINH_CA!$C$5:$C$50,MATCH(INDEX(NHAP_LIEU!$D$5:$D$10004,MATCH(1,INDEX((NHAP_LIEU!$A$5:$A$10004=($J$2+13-2))*(NHAP_LIEU!$B$5:$B$10004=$A22),0),0)),CAU_HINH_CA!$A$5:$A$50,0))*INDEX(NHAP_LIEU!$E$5:$E$10004,MATCH(1,INDEX((NHAP_LIEU!$A$5:$A$10004=($J$2+13-2))*(NHAP_LIEU!$B$5:$B$10004=$A22),0),0)),0),""))</f>
        <v/>
      </c>
      <c r="N22" s="55" t="str">
        <f aca="false">IF(N11="","",IFERROR(N11/ROUND(INDEX(CAU_HINH_CA!$C$5:$C$50,MATCH(INDEX(NHAP_LIEU!$D$5:$D$10004,MATCH(1,INDEX((NHAP_LIEU!$A$5:$A$10004=($J$2+14-2))*(NHAP_LIEU!$B$5:$B$10004=$A22),0),0)),CAU_HINH_CA!$A$5:$A$50,0))*INDEX(NHAP_LIEU!$E$5:$E$10004,MATCH(1,INDEX((NHAP_LIEU!$A$5:$A$10004=($J$2+14-2))*(NHAP_LIEU!$B$5:$B$10004=$A22),0),0)),0),""))</f>
        <v/>
      </c>
      <c r="O22" s="55" t="str">
        <f aca="false">IF(O11="","",IFERROR(O11/ROUND(INDEX(CAU_HINH_CA!$C$5:$C$50,MATCH(INDEX(NHAP_LIEU!$D$5:$D$10004,MATCH(1,INDEX((NHAP_LIEU!$A$5:$A$10004=($J$2+15-2))*(NHAP_LIEU!$B$5:$B$10004=$A22),0),0)),CAU_HINH_CA!$A$5:$A$50,0))*INDEX(NHAP_LIEU!$E$5:$E$10004,MATCH(1,INDEX((NHAP_LIEU!$A$5:$A$10004=($J$2+15-2))*(NHAP_LIEU!$B$5:$B$10004=$A22),0),0)),0),""))</f>
        <v/>
      </c>
      <c r="P22" s="55" t="str">
        <f aca="false">IF(P11="","",IFERROR(P11/ROUND(INDEX(CAU_HINH_CA!$C$5:$C$50,MATCH(INDEX(NHAP_LIEU!$D$5:$D$10004,MATCH(1,INDEX((NHAP_LIEU!$A$5:$A$10004=($J$2+16-2))*(NHAP_LIEU!$B$5:$B$10004=$A22),0),0)),CAU_HINH_CA!$A$5:$A$50,0))*INDEX(NHAP_LIEU!$E$5:$E$10004,MATCH(1,INDEX((NHAP_LIEU!$A$5:$A$10004=($J$2+16-2))*(NHAP_LIEU!$B$5:$B$10004=$A22),0),0)),0),""))</f>
        <v/>
      </c>
      <c r="Q22" s="55" t="str">
        <f aca="false">IF(Q11="","",IFERROR(Q11/ROUND(INDEX(CAU_HINH_CA!$C$5:$C$50,MATCH(INDEX(NHAP_LIEU!$D$5:$D$10004,MATCH(1,INDEX((NHAP_LIEU!$A$5:$A$10004=($J$2+17-2))*(NHAP_LIEU!$B$5:$B$10004=$A22),0),0)),CAU_HINH_CA!$A$5:$A$50,0))*INDEX(NHAP_LIEU!$E$5:$E$10004,MATCH(1,INDEX((NHAP_LIEU!$A$5:$A$10004=($J$2+17-2))*(NHAP_LIEU!$B$5:$B$10004=$A22),0),0)),0),""))</f>
        <v/>
      </c>
      <c r="R22" s="55" t="str">
        <f aca="false">IF(R11="","",IFERROR(R11/ROUND(INDEX(CAU_HINH_CA!$C$5:$C$50,MATCH(INDEX(NHAP_LIEU!$D$5:$D$10004,MATCH(1,INDEX((NHAP_LIEU!$A$5:$A$10004=($J$2+18-2))*(NHAP_LIEU!$B$5:$B$10004=$A22),0),0)),CAU_HINH_CA!$A$5:$A$50,0))*INDEX(NHAP_LIEU!$E$5:$E$10004,MATCH(1,INDEX((NHAP_LIEU!$A$5:$A$10004=($J$2+18-2))*(NHAP_LIEU!$B$5:$B$10004=$A22),0),0)),0),""))</f>
        <v/>
      </c>
      <c r="S22" s="55" t="str">
        <f aca="false">IF(S11="","",IFERROR(S11/ROUND(INDEX(CAU_HINH_CA!$C$5:$C$50,MATCH(INDEX(NHAP_LIEU!$D$5:$D$10004,MATCH(1,INDEX((NHAP_LIEU!$A$5:$A$10004=($J$2+19-2))*(NHAP_LIEU!$B$5:$B$10004=$A22),0),0)),CAU_HINH_CA!$A$5:$A$50,0))*INDEX(NHAP_LIEU!$E$5:$E$10004,MATCH(1,INDEX((NHAP_LIEU!$A$5:$A$10004=($J$2+19-2))*(NHAP_LIEU!$B$5:$B$10004=$A22),0),0)),0),""))</f>
        <v/>
      </c>
      <c r="T22" s="55" t="str">
        <f aca="false">IF(T11="","",IFERROR(T11/ROUND(INDEX(CAU_HINH_CA!$C$5:$C$50,MATCH(INDEX(NHAP_LIEU!$D$5:$D$10004,MATCH(1,INDEX((NHAP_LIEU!$A$5:$A$10004=($J$2+20-2))*(NHAP_LIEU!$B$5:$B$10004=$A22),0),0)),CAU_HINH_CA!$A$5:$A$50,0))*INDEX(NHAP_LIEU!$E$5:$E$10004,MATCH(1,INDEX((NHAP_LIEU!$A$5:$A$10004=($J$2+20-2))*(NHAP_LIEU!$B$5:$B$10004=$A22),0),0)),0),""))</f>
        <v/>
      </c>
      <c r="U22" s="55" t="str">
        <f aca="false">IF(U11="","",IFERROR(U11/ROUND(INDEX(CAU_HINH_CA!$C$5:$C$50,MATCH(INDEX(NHAP_LIEU!$D$5:$D$10004,MATCH(1,INDEX((NHAP_LIEU!$A$5:$A$10004=($J$2+21-2))*(NHAP_LIEU!$B$5:$B$10004=$A22),0),0)),CAU_HINH_CA!$A$5:$A$50,0))*INDEX(NHAP_LIEU!$E$5:$E$10004,MATCH(1,INDEX((NHAP_LIEU!$A$5:$A$10004=($J$2+21-2))*(NHAP_LIEU!$B$5:$B$10004=$A22),0),0)),0),""))</f>
        <v/>
      </c>
      <c r="V22" s="55" t="str">
        <f aca="false">IF(V11="","",IFERROR(V11/ROUND(INDEX(CAU_HINH_CA!$C$5:$C$50,MATCH(INDEX(NHAP_LIEU!$D$5:$D$10004,MATCH(1,INDEX((NHAP_LIEU!$A$5:$A$10004=($J$2+22-2))*(NHAP_LIEU!$B$5:$B$10004=$A22),0),0)),CAU_HINH_CA!$A$5:$A$50,0))*INDEX(NHAP_LIEU!$E$5:$E$10004,MATCH(1,INDEX((NHAP_LIEU!$A$5:$A$10004=($J$2+22-2))*(NHAP_LIEU!$B$5:$B$10004=$A22),0),0)),0),""))</f>
        <v/>
      </c>
      <c r="W22" s="55" t="str">
        <f aca="false">IF(W11="","",IFERROR(W11/ROUND(INDEX(CAU_HINH_CA!$C$5:$C$50,MATCH(INDEX(NHAP_LIEU!$D$5:$D$10004,MATCH(1,INDEX((NHAP_LIEU!$A$5:$A$10004=($J$2+23-2))*(NHAP_LIEU!$B$5:$B$10004=$A22),0),0)),CAU_HINH_CA!$A$5:$A$50,0))*INDEX(NHAP_LIEU!$E$5:$E$10004,MATCH(1,INDEX((NHAP_LIEU!$A$5:$A$10004=($J$2+23-2))*(NHAP_LIEU!$B$5:$B$10004=$A22),0),0)),0),""))</f>
        <v/>
      </c>
      <c r="X22" s="55" t="str">
        <f aca="false">IF(X11="","",IFERROR(X11/ROUND(INDEX(CAU_HINH_CA!$C$5:$C$50,MATCH(INDEX(NHAP_LIEU!$D$5:$D$10004,MATCH(1,INDEX((NHAP_LIEU!$A$5:$A$10004=($J$2+24-2))*(NHAP_LIEU!$B$5:$B$10004=$A22),0),0)),CAU_HINH_CA!$A$5:$A$50,0))*INDEX(NHAP_LIEU!$E$5:$E$10004,MATCH(1,INDEX((NHAP_LIEU!$A$5:$A$10004=($J$2+24-2))*(NHAP_LIEU!$B$5:$B$10004=$A22),0),0)),0),""))</f>
        <v/>
      </c>
      <c r="Y22" s="55" t="str">
        <f aca="false">IF(Y11="","",IFERROR(Y11/ROUND(INDEX(CAU_HINH_CA!$C$5:$C$50,MATCH(INDEX(NHAP_LIEU!$D$5:$D$10004,MATCH(1,INDEX((NHAP_LIEU!$A$5:$A$10004=($J$2+25-2))*(NHAP_LIEU!$B$5:$B$10004=$A22),0),0)),CAU_HINH_CA!$A$5:$A$50,0))*INDEX(NHAP_LIEU!$E$5:$E$10004,MATCH(1,INDEX((NHAP_LIEU!$A$5:$A$10004=($J$2+25-2))*(NHAP_LIEU!$B$5:$B$10004=$A22),0),0)),0),""))</f>
        <v/>
      </c>
      <c r="Z22" s="55" t="str">
        <f aca="false">IF(Z11="","",IFERROR(Z11/ROUND(INDEX(CAU_HINH_CA!$C$5:$C$50,MATCH(INDEX(NHAP_LIEU!$D$5:$D$10004,MATCH(1,INDEX((NHAP_LIEU!$A$5:$A$10004=($J$2+26-2))*(NHAP_LIEU!$B$5:$B$10004=$A22),0),0)),CAU_HINH_CA!$A$5:$A$50,0))*INDEX(NHAP_LIEU!$E$5:$E$10004,MATCH(1,INDEX((NHAP_LIEU!$A$5:$A$10004=($J$2+26-2))*(NHAP_LIEU!$B$5:$B$10004=$A22),0),0)),0),""))</f>
        <v/>
      </c>
      <c r="AA22" s="55" t="str">
        <f aca="false">IF(AA11="","",IFERROR(AA11/ROUND(INDEX(CAU_HINH_CA!$C$5:$C$50,MATCH(INDEX(NHAP_LIEU!$D$5:$D$10004,MATCH(1,INDEX((NHAP_LIEU!$A$5:$A$10004=($J$2+27-2))*(NHAP_LIEU!$B$5:$B$10004=$A22),0),0)),CAU_HINH_CA!$A$5:$A$50,0))*INDEX(NHAP_LIEU!$E$5:$E$10004,MATCH(1,INDEX((NHAP_LIEU!$A$5:$A$10004=($J$2+27-2))*(NHAP_LIEU!$B$5:$B$10004=$A22),0),0)),0),""))</f>
        <v/>
      </c>
      <c r="AB22" s="55" t="str">
        <f aca="false">IF(AB11="","",IFERROR(AB11/ROUND(INDEX(CAU_HINH_CA!$C$5:$C$50,MATCH(INDEX(NHAP_LIEU!$D$5:$D$10004,MATCH(1,INDEX((NHAP_LIEU!$A$5:$A$10004=($J$2+28-2))*(NHAP_LIEU!$B$5:$B$10004=$A22),0),0)),CAU_HINH_CA!$A$5:$A$50,0))*INDEX(NHAP_LIEU!$E$5:$E$10004,MATCH(1,INDEX((NHAP_LIEU!$A$5:$A$10004=($J$2+28-2))*(NHAP_LIEU!$B$5:$B$10004=$A22),0),0)),0),""))</f>
        <v/>
      </c>
      <c r="AC22" s="55" t="str">
        <f aca="false">IF(AC11="","",IFERROR(AC11/ROUND(INDEX(CAU_HINH_CA!$C$5:$C$50,MATCH(INDEX(NHAP_LIEU!$D$5:$D$10004,MATCH(1,INDEX((NHAP_LIEU!$A$5:$A$10004=($J$2+29-2))*(NHAP_LIEU!$B$5:$B$10004=$A22),0),0)),CAU_HINH_CA!$A$5:$A$50,0))*INDEX(NHAP_LIEU!$E$5:$E$10004,MATCH(1,INDEX((NHAP_LIEU!$A$5:$A$10004=($J$2+29-2))*(NHAP_LIEU!$B$5:$B$10004=$A22),0),0)),0),""))</f>
        <v/>
      </c>
      <c r="AD22" s="55" t="str">
        <f aca="false">IF(AD11="","",IFERROR(AD11/ROUND(INDEX(CAU_HINH_CA!$C$5:$C$50,MATCH(INDEX(NHAP_LIEU!$D$5:$D$10004,MATCH(1,INDEX((NHAP_LIEU!$A$5:$A$10004=($J$2+30-2))*(NHAP_LIEU!$B$5:$B$10004=$A22),0),0)),CAU_HINH_CA!$A$5:$A$50,0))*INDEX(NHAP_LIEU!$E$5:$E$10004,MATCH(1,INDEX((NHAP_LIEU!$A$5:$A$10004=($J$2+30-2))*(NHAP_LIEU!$B$5:$B$10004=$A22),0),0)),0),""))</f>
        <v/>
      </c>
      <c r="AE22" s="55" t="str">
        <f aca="false">IF(AE11="","",IFERROR(AE11/ROUND(INDEX(CAU_HINH_CA!$C$5:$C$50,MATCH(INDEX(NHAP_LIEU!$D$5:$D$10004,MATCH(1,INDEX((NHAP_LIEU!$A$5:$A$10004=($J$2+31-2))*(NHAP_LIEU!$B$5:$B$10004=$A22),0),0)),CAU_HINH_CA!$A$5:$A$50,0))*INDEX(NHAP_LIEU!$E$5:$E$10004,MATCH(1,INDEX((NHAP_LIEU!$A$5:$A$10004=($J$2+31-2))*(NHAP_LIEU!$B$5:$B$10004=$A22),0),0)),0),""))</f>
        <v/>
      </c>
      <c r="AF22" s="55" t="str">
        <f aca="false">IF(AF11="","",IFERROR(AF11/ROUND(INDEX(CAU_HINH_CA!$C$5:$C$50,MATCH(INDEX(NHAP_LIEU!$D$5:$D$10004,MATCH(1,INDEX((NHAP_LIEU!$A$5:$A$10004=($J$2+32-2))*(NHAP_LIEU!$B$5:$B$10004=$A22),0),0)),CAU_HINH_CA!$A$5:$A$50,0))*INDEX(NHAP_LIEU!$E$5:$E$10004,MATCH(1,INDEX((NHAP_LIEU!$A$5:$A$10004=($J$2+32-2))*(NHAP_LIEU!$B$5:$B$10004=$A22),0),0)),0),""))</f>
        <v/>
      </c>
    </row>
    <row r="24" customFormat="false" ht="15" hidden="false" customHeight="false" outlineLevel="0" collapsed="false">
      <c r="A24" s="50" t="s">
        <v>276</v>
      </c>
    </row>
    <row r="25" customFormat="false" ht="15" hidden="false" customHeight="true" outlineLevel="0" collapsed="false">
      <c r="A25" s="9" t="s">
        <v>277</v>
      </c>
      <c r="B25" s="9"/>
      <c r="C25" s="9"/>
      <c r="D25" s="9" t="s">
        <v>278</v>
      </c>
      <c r="E25" s="9"/>
      <c r="F25" s="9"/>
      <c r="G25" s="9" t="s">
        <v>186</v>
      </c>
      <c r="H25" s="9"/>
      <c r="I25" s="9"/>
      <c r="J25" s="9" t="s">
        <v>279</v>
      </c>
      <c r="K25" s="9"/>
      <c r="L25" s="9"/>
    </row>
    <row r="26" customFormat="false" ht="15" hidden="false" customHeight="false" outlineLevel="0" collapsed="false">
      <c r="A26" s="51" t="str">
        <f aca="false">IF(DANH_SACH_LY_DO!A5="","",DANH_SACH_LY_DO!A5)</f>
        <v>Thiếu vật tư</v>
      </c>
      <c r="B26" s="51"/>
      <c r="C26" s="51"/>
      <c r="D26" s="20" t="n">
        <f aca="false">IF(A26="","",SUMPRODUCT((NHAP_LIEU!$AI$5:$AI$10004=A26)*(NHAP_LIEU!$A$5:$A$10004&gt;=$J$2)*(NHAP_LIEU!$A$5:$A$10004&lt;DATE(YEAR($J$2),MONTH($J$2)+1,1))))</f>
        <v>0</v>
      </c>
      <c r="E26" s="20"/>
      <c r="F26" s="20"/>
      <c r="G26" s="20" t="n">
        <f aca="false">IF(A26="","",SUMPRODUCT((NHAP_LIEU!$AI$5:$AI$10004=A26)*(NHAP_LIEU!$A$5:$A$10004&gt;=$J$2)*(NHAP_LIEU!$A$5:$A$10004&lt;DATE(YEAR($J$2),MONTH($J$2)+1,1))*NHAP_LIEU!$AJ$5:$AJ$10004))</f>
        <v>0</v>
      </c>
      <c r="H26" s="20"/>
      <c r="I26" s="20"/>
      <c r="J26" s="20" t="n">
        <f aca="false">IF(A26="","",SUMPRODUCT((NHAP_LIEU!$AI$5:$AI$10004=A26)*(NHAP_LIEU!$A$5:$A$10004&gt;=$J$2)*(NHAP_LIEU!$A$5:$A$10004&lt;DATE(YEAR($J$2),MONTH($J$2)+1,1))*ROUND(SUMIF(CAU_HINH_CA!$A$5:$A$50,NHAP_LIEU!$D$5:$D$10004,CAU_HINH_CA!$C$5:$C$50)*NHAP_LIEU!$E$5:$E$10004,0))-SUMPRODUCT((NHAP_LIEU!$AI$5:$AI$10004=A26)*(NHAP_LIEU!$A$5:$A$10004&gt;=$J$2)*(NHAP_LIEU!$A$5:$A$10004&lt;DATE(YEAR($J$2),MONTH($J$2)+1,1))*NHAP_LIEU!$H$5:$S$10004))</f>
        <v>0</v>
      </c>
      <c r="K26" s="20"/>
      <c r="L26" s="20"/>
    </row>
    <row r="27" customFormat="false" ht="15" hidden="false" customHeight="false" outlineLevel="0" collapsed="false">
      <c r="A27" s="51" t="str">
        <f aca="false">IF(DANH_SACH_LY_DO!A6="","",DANH_SACH_LY_DO!A6)</f>
        <v>Hư máy</v>
      </c>
      <c r="B27" s="51"/>
      <c r="C27" s="51"/>
      <c r="D27" s="20" t="n">
        <f aca="false">IF(A27="","",SUMPRODUCT((NHAP_LIEU!$AI$5:$AI$10004=A27)*(NHAP_LIEU!$A$5:$A$10004&gt;=$J$2)*(NHAP_LIEU!$A$5:$A$10004&lt;DATE(YEAR($J$2),MONTH($J$2)+1,1))))</f>
        <v>1</v>
      </c>
      <c r="E27" s="20"/>
      <c r="F27" s="20"/>
      <c r="G27" s="20" t="n">
        <f aca="false">IF(A27="","",SUMPRODUCT((NHAP_LIEU!$AI$5:$AI$10004=A27)*(NHAP_LIEU!$A$5:$A$10004&gt;=$J$2)*(NHAP_LIEU!$A$5:$A$10004&lt;DATE(YEAR($J$2),MONTH($J$2)+1,1))*NHAP_LIEU!$AJ$5:$AJ$10004))</f>
        <v>45</v>
      </c>
      <c r="H27" s="20"/>
      <c r="I27" s="20"/>
      <c r="J27" s="20" t="n">
        <f aca="false">IF(A27="","",SUMPRODUCT((NHAP_LIEU!$AI$5:$AI$10004=A27)*(NHAP_LIEU!$A$5:$A$10004&gt;=$J$2)*(NHAP_LIEU!$A$5:$A$10004&lt;DATE(YEAR($J$2),MONTH($J$2)+1,1))*ROUND(SUMIF(CAU_HINH_CA!$A$5:$A$50,NHAP_LIEU!$D$5:$D$10004,CAU_HINH_CA!$C$5:$C$50)*NHAP_LIEU!$E$5:$E$10004,0))-SUMPRODUCT((NHAP_LIEU!$AI$5:$AI$10004=A27)*(NHAP_LIEU!$A$5:$A$10004&gt;=$J$2)*(NHAP_LIEU!$A$5:$A$10004&lt;DATE(YEAR($J$2),MONTH($J$2)+1,1))*NHAP_LIEU!$H$5:$S$10004))</f>
        <v>100</v>
      </c>
      <c r="K27" s="20"/>
      <c r="L27" s="20"/>
    </row>
    <row r="28" customFormat="false" ht="15" hidden="false" customHeight="false" outlineLevel="0" collapsed="false">
      <c r="A28" s="51" t="str">
        <f aca="false">IF(DANH_SACH_LY_DO!A7="","",DANH_SACH_LY_DO!A7)</f>
        <v>Thiếu người</v>
      </c>
      <c r="B28" s="51"/>
      <c r="C28" s="51"/>
      <c r="D28" s="20" t="n">
        <f aca="false">IF(A28="","",SUMPRODUCT((NHAP_LIEU!$AI$5:$AI$10004=A28)*(NHAP_LIEU!$A$5:$A$10004&gt;=$J$2)*(NHAP_LIEU!$A$5:$A$10004&lt;DATE(YEAR($J$2),MONTH($J$2)+1,1))))</f>
        <v>0</v>
      </c>
      <c r="E28" s="20"/>
      <c r="F28" s="20"/>
      <c r="G28" s="20" t="n">
        <f aca="false">IF(A28="","",SUMPRODUCT((NHAP_LIEU!$AI$5:$AI$10004=A28)*(NHAP_LIEU!$A$5:$A$10004&gt;=$J$2)*(NHAP_LIEU!$A$5:$A$10004&lt;DATE(YEAR($J$2),MONTH($J$2)+1,1))*NHAP_LIEU!$AJ$5:$AJ$10004))</f>
        <v>0</v>
      </c>
      <c r="H28" s="20"/>
      <c r="I28" s="20"/>
      <c r="J28" s="20" t="n">
        <f aca="false">IF(A28="","",SUMPRODUCT((NHAP_LIEU!$AI$5:$AI$10004=A28)*(NHAP_LIEU!$A$5:$A$10004&gt;=$J$2)*(NHAP_LIEU!$A$5:$A$10004&lt;DATE(YEAR($J$2),MONTH($J$2)+1,1))*ROUND(SUMIF(CAU_HINH_CA!$A$5:$A$50,NHAP_LIEU!$D$5:$D$10004,CAU_HINH_CA!$C$5:$C$50)*NHAP_LIEU!$E$5:$E$10004,0))-SUMPRODUCT((NHAP_LIEU!$AI$5:$AI$10004=A28)*(NHAP_LIEU!$A$5:$A$10004&gt;=$J$2)*(NHAP_LIEU!$A$5:$A$10004&lt;DATE(YEAR($J$2),MONTH($J$2)+1,1))*NHAP_LIEU!$H$5:$S$10004))</f>
        <v>0</v>
      </c>
      <c r="K28" s="20"/>
      <c r="L28" s="20"/>
    </row>
    <row r="29" customFormat="false" ht="15" hidden="false" customHeight="false" outlineLevel="0" collapsed="false">
      <c r="A29" s="51" t="str">
        <f aca="false">IF(DANH_SACH_LY_DO!A8="","",DANH_SACH_LY_DO!A8)</f>
        <v>Chờ hàng / chờ khuôn</v>
      </c>
      <c r="B29" s="51"/>
      <c r="C29" s="51"/>
      <c r="D29" s="20" t="n">
        <f aca="false">IF(A29="","",SUMPRODUCT((NHAP_LIEU!$AI$5:$AI$10004=A29)*(NHAP_LIEU!$A$5:$A$10004&gt;=$J$2)*(NHAP_LIEU!$A$5:$A$10004&lt;DATE(YEAR($J$2),MONTH($J$2)+1,1))))</f>
        <v>0</v>
      </c>
      <c r="E29" s="20"/>
      <c r="F29" s="20"/>
      <c r="G29" s="20" t="n">
        <f aca="false">IF(A29="","",SUMPRODUCT((NHAP_LIEU!$AI$5:$AI$10004=A29)*(NHAP_LIEU!$A$5:$A$10004&gt;=$J$2)*(NHAP_LIEU!$A$5:$A$10004&lt;DATE(YEAR($J$2),MONTH($J$2)+1,1))*NHAP_LIEU!$AJ$5:$AJ$10004))</f>
        <v>0</v>
      </c>
      <c r="H29" s="20"/>
      <c r="I29" s="20"/>
      <c r="J29" s="20" t="n">
        <f aca="false">IF(A29="","",SUMPRODUCT((NHAP_LIEU!$AI$5:$AI$10004=A29)*(NHAP_LIEU!$A$5:$A$10004&gt;=$J$2)*(NHAP_LIEU!$A$5:$A$10004&lt;DATE(YEAR($J$2),MONTH($J$2)+1,1))*ROUND(SUMIF(CAU_HINH_CA!$A$5:$A$50,NHAP_LIEU!$D$5:$D$10004,CAU_HINH_CA!$C$5:$C$50)*NHAP_LIEU!$E$5:$E$10004,0))-SUMPRODUCT((NHAP_LIEU!$AI$5:$AI$10004=A29)*(NHAP_LIEU!$A$5:$A$10004&gt;=$J$2)*(NHAP_LIEU!$A$5:$A$10004&lt;DATE(YEAR($J$2),MONTH($J$2)+1,1))*NHAP_LIEU!$H$5:$S$10004))</f>
        <v>0</v>
      </c>
      <c r="K29" s="20"/>
      <c r="L29" s="20"/>
    </row>
    <row r="30" customFormat="false" ht="15" hidden="false" customHeight="false" outlineLevel="0" collapsed="false">
      <c r="A30" s="51" t="str">
        <f aca="false">IF(DANH_SACH_LY_DO!A9="","",DANH_SACH_LY_DO!A9)</f>
        <v>Sửa hàng lỗi</v>
      </c>
      <c r="B30" s="51"/>
      <c r="C30" s="51"/>
      <c r="D30" s="20" t="n">
        <f aca="false">IF(A30="","",SUMPRODUCT((NHAP_LIEU!$AI$5:$AI$10004=A30)*(NHAP_LIEU!$A$5:$A$10004&gt;=$J$2)*(NHAP_LIEU!$A$5:$A$10004&lt;DATE(YEAR($J$2),MONTH($J$2)+1,1))))</f>
        <v>0</v>
      </c>
      <c r="E30" s="20"/>
      <c r="F30" s="20"/>
      <c r="G30" s="20" t="n">
        <f aca="false">IF(A30="","",SUMPRODUCT((NHAP_LIEU!$AI$5:$AI$10004=A30)*(NHAP_LIEU!$A$5:$A$10004&gt;=$J$2)*(NHAP_LIEU!$A$5:$A$10004&lt;DATE(YEAR($J$2),MONTH($J$2)+1,1))*NHAP_LIEU!$AJ$5:$AJ$10004))</f>
        <v>0</v>
      </c>
      <c r="H30" s="20"/>
      <c r="I30" s="20"/>
      <c r="J30" s="20" t="n">
        <f aca="false">IF(A30="","",SUMPRODUCT((NHAP_LIEU!$AI$5:$AI$10004=A30)*(NHAP_LIEU!$A$5:$A$10004&gt;=$J$2)*(NHAP_LIEU!$A$5:$A$10004&lt;DATE(YEAR($J$2),MONTH($J$2)+1,1))*ROUND(SUMIF(CAU_HINH_CA!$A$5:$A$50,NHAP_LIEU!$D$5:$D$10004,CAU_HINH_CA!$C$5:$C$50)*NHAP_LIEU!$E$5:$E$10004,0))-SUMPRODUCT((NHAP_LIEU!$AI$5:$AI$10004=A30)*(NHAP_LIEU!$A$5:$A$10004&gt;=$J$2)*(NHAP_LIEU!$A$5:$A$10004&lt;DATE(YEAR($J$2),MONTH($J$2)+1,1))*NHAP_LIEU!$H$5:$S$10004))</f>
        <v>0</v>
      </c>
      <c r="K30" s="20"/>
      <c r="L30" s="20"/>
    </row>
    <row r="31" customFormat="false" ht="15" hidden="false" customHeight="false" outlineLevel="0" collapsed="false">
      <c r="A31" s="51" t="str">
        <f aca="false">IF(DANH_SACH_LY_DO!A10="","",DANH_SACH_LY_DO!A10)</f>
        <v>Khác</v>
      </c>
      <c r="B31" s="51"/>
      <c r="C31" s="51"/>
      <c r="D31" s="20" t="n">
        <f aca="false">IF(A31="","",SUMPRODUCT((NHAP_LIEU!$AI$5:$AI$10004=A31)*(NHAP_LIEU!$A$5:$A$10004&gt;=$J$2)*(NHAP_LIEU!$A$5:$A$10004&lt;DATE(YEAR($J$2),MONTH($J$2)+1,1))))</f>
        <v>0</v>
      </c>
      <c r="E31" s="20"/>
      <c r="F31" s="20"/>
      <c r="G31" s="20" t="n">
        <f aca="false">IF(A31="","",SUMPRODUCT((NHAP_LIEU!$AI$5:$AI$10004=A31)*(NHAP_LIEU!$A$5:$A$10004&gt;=$J$2)*(NHAP_LIEU!$A$5:$A$10004&lt;DATE(YEAR($J$2),MONTH($J$2)+1,1))*NHAP_LIEU!$AJ$5:$AJ$10004))</f>
        <v>0</v>
      </c>
      <c r="H31" s="20"/>
      <c r="I31" s="20"/>
      <c r="J31" s="20" t="n">
        <f aca="false">IF(A31="","",SUMPRODUCT((NHAP_LIEU!$AI$5:$AI$10004=A31)*(NHAP_LIEU!$A$5:$A$10004&gt;=$J$2)*(NHAP_LIEU!$A$5:$A$10004&lt;DATE(YEAR($J$2),MONTH($J$2)+1,1))*ROUND(SUMIF(CAU_HINH_CA!$A$5:$A$50,NHAP_LIEU!$D$5:$D$10004,CAU_HINH_CA!$C$5:$C$50)*NHAP_LIEU!$E$5:$E$10004,0))-SUMPRODUCT((NHAP_LIEU!$AI$5:$AI$10004=A31)*(NHAP_LIEU!$A$5:$A$10004&gt;=$J$2)*(NHAP_LIEU!$A$5:$A$10004&lt;DATE(YEAR($J$2),MONTH($J$2)+1,1))*NHAP_LIEU!$H$5:$S$10004))</f>
        <v>0</v>
      </c>
      <c r="K31" s="20"/>
      <c r="L31" s="20"/>
    </row>
    <row r="32" customFormat="false" ht="15" hidden="false" customHeight="false" outlineLevel="0" collapsed="false">
      <c r="A32" s="51" t="str">
        <f aca="false">IF(DANH_SACH_LY_DO!A11="","",DANH_SACH_LY_DO!A11)</f>
        <v/>
      </c>
      <c r="B32" s="51"/>
      <c r="C32" s="51"/>
      <c r="D32" s="20" t="str">
        <f aca="false">IF(A32="","",SUMPRODUCT((NHAP_LIEU!$AI$5:$AI$10004=A32)*(NHAP_LIEU!$A$5:$A$10004&gt;=$J$2)*(NHAP_LIEU!$A$5:$A$10004&lt;DATE(YEAR($J$2),MONTH($J$2)+1,1))))</f>
        <v/>
      </c>
      <c r="E32" s="20"/>
      <c r="F32" s="20"/>
      <c r="G32" s="20" t="str">
        <f aca="false">IF(A32="","",SUMPRODUCT((NHAP_LIEU!$AI$5:$AI$10004=A32)*(NHAP_LIEU!$A$5:$A$10004&gt;=$J$2)*(NHAP_LIEU!$A$5:$A$10004&lt;DATE(YEAR($J$2),MONTH($J$2)+1,1))*NHAP_LIEU!$AJ$5:$AJ$10004))</f>
        <v/>
      </c>
      <c r="H32" s="20"/>
      <c r="I32" s="20"/>
      <c r="J32" s="20" t="str">
        <f aca="false">IF(A32="","",SUMPRODUCT((NHAP_LIEU!$AI$5:$AI$10004=A32)*(NHAP_LIEU!$A$5:$A$10004&gt;=$J$2)*(NHAP_LIEU!$A$5:$A$10004&lt;DATE(YEAR($J$2),MONTH($J$2)+1,1))*ROUND(SUMIF(CAU_HINH_CA!$A$5:$A$50,NHAP_LIEU!$D$5:$D$10004,CAU_HINH_CA!$C$5:$C$50)*NHAP_LIEU!$E$5:$E$10004,0))-SUMPRODUCT((NHAP_LIEU!$AI$5:$AI$10004=A32)*(NHAP_LIEU!$A$5:$A$10004&gt;=$J$2)*(NHAP_LIEU!$A$5:$A$10004&lt;DATE(YEAR($J$2),MONTH($J$2)+1,1))*NHAP_LIEU!$H$5:$S$10004))</f>
        <v/>
      </c>
      <c r="K32" s="20"/>
      <c r="L32" s="20"/>
    </row>
    <row r="33" customFormat="false" ht="15" hidden="false" customHeight="false" outlineLevel="0" collapsed="false">
      <c r="A33" s="51" t="str">
        <f aca="false">IF(DANH_SACH_LY_DO!A12="","",DANH_SACH_LY_DO!A12)</f>
        <v/>
      </c>
      <c r="B33" s="51"/>
      <c r="C33" s="51"/>
      <c r="D33" s="20" t="str">
        <f aca="false">IF(A33="","",SUMPRODUCT((NHAP_LIEU!$AI$5:$AI$10004=A33)*(NHAP_LIEU!$A$5:$A$10004&gt;=$J$2)*(NHAP_LIEU!$A$5:$A$10004&lt;DATE(YEAR($J$2),MONTH($J$2)+1,1))))</f>
        <v/>
      </c>
      <c r="E33" s="20"/>
      <c r="F33" s="20"/>
      <c r="G33" s="20" t="str">
        <f aca="false">IF(A33="","",SUMPRODUCT((NHAP_LIEU!$AI$5:$AI$10004=A33)*(NHAP_LIEU!$A$5:$A$10004&gt;=$J$2)*(NHAP_LIEU!$A$5:$A$10004&lt;DATE(YEAR($J$2),MONTH($J$2)+1,1))*NHAP_LIEU!$AJ$5:$AJ$10004))</f>
        <v/>
      </c>
      <c r="H33" s="20"/>
      <c r="I33" s="20"/>
      <c r="J33" s="20" t="str">
        <f aca="false">IF(A33="","",SUMPRODUCT((NHAP_LIEU!$AI$5:$AI$10004=A33)*(NHAP_LIEU!$A$5:$A$10004&gt;=$J$2)*(NHAP_LIEU!$A$5:$A$10004&lt;DATE(YEAR($J$2),MONTH($J$2)+1,1))*ROUND(SUMIF(CAU_HINH_CA!$A$5:$A$50,NHAP_LIEU!$D$5:$D$10004,CAU_HINH_CA!$C$5:$C$50)*NHAP_LIEU!$E$5:$E$10004,0))-SUMPRODUCT((NHAP_LIEU!$AI$5:$AI$10004=A33)*(NHAP_LIEU!$A$5:$A$10004&gt;=$J$2)*(NHAP_LIEU!$A$5:$A$10004&lt;DATE(YEAR($J$2),MONTH($J$2)+1,1))*NHAP_LIEU!$H$5:$S$10004))</f>
        <v/>
      </c>
      <c r="K33" s="20"/>
      <c r="L33" s="20"/>
    </row>
    <row r="35" customFormat="false" ht="15" hidden="false" customHeight="false" outlineLevel="0" collapsed="false">
      <c r="A35" s="50" t="s">
        <v>280</v>
      </c>
    </row>
    <row r="36" customFormat="false" ht="15" hidden="false" customHeight="true" outlineLevel="0" collapsed="false">
      <c r="A36" s="9" t="s">
        <v>157</v>
      </c>
      <c r="B36" s="9"/>
      <c r="C36" s="9"/>
      <c r="D36" s="9" t="s">
        <v>281</v>
      </c>
      <c r="E36" s="9"/>
      <c r="F36" s="9"/>
      <c r="G36" s="9" t="s">
        <v>282</v>
      </c>
      <c r="H36" s="9"/>
      <c r="I36" s="9"/>
      <c r="J36" s="9" t="s">
        <v>187</v>
      </c>
      <c r="K36" s="9"/>
      <c r="L36" s="9"/>
      <c r="M36" s="9" t="s">
        <v>185</v>
      </c>
      <c r="N36" s="9"/>
      <c r="O36" s="9"/>
      <c r="P36" s="9" t="s">
        <v>188</v>
      </c>
      <c r="Q36" s="9"/>
      <c r="R36" s="9"/>
    </row>
    <row r="37" customFormat="false" ht="15" hidden="false" customHeight="false" outlineLevel="0" collapsed="false">
      <c r="A37" s="51" t="str">
        <f aca="false">A6</f>
        <v>Chuyền 1</v>
      </c>
      <c r="B37" s="51"/>
      <c r="C37" s="51"/>
      <c r="D37" s="20" t="n">
        <f aca="false">IF(A37="","",AG6)</f>
        <v>1000</v>
      </c>
      <c r="E37" s="20"/>
      <c r="F37" s="20"/>
      <c r="G37" s="20" t="n">
        <f aca="false">IF(A37="","",SUMPRODUCT((NHAP_LIEU!$B$5:$B$10004=A37)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200</v>
      </c>
      <c r="H37" s="20"/>
      <c r="I37" s="20"/>
      <c r="J37" s="26" t="n">
        <f aca="false">IF(OR(A37="",N(G37)=0),"",D37/G37)</f>
        <v>5</v>
      </c>
      <c r="K37" s="26"/>
      <c r="L37" s="26"/>
      <c r="M37" s="20" t="n">
        <f aca="false">IF(A37="","",SUMPRODUCT((NHAP_LIEU!$B$5:$B$10004=A37)*(NHAP_LIEU!$A$5:$A$10004&gt;=$J$2)*(NHAP_LIEU!$A$5:$A$10004&lt;DATE(YEAR($J$2),MONTH($J$2)+1,1))*NHAP_LIEU!$AH$5:$AH$10004))</f>
        <v>4</v>
      </c>
      <c r="N37" s="20"/>
      <c r="O37" s="20"/>
      <c r="P37" s="27" t="n">
        <f aca="false">IF(OR(A37="",N(D37)=0),"",M37/D37)</f>
        <v>0.004</v>
      </c>
      <c r="Q37" s="27"/>
      <c r="R37" s="27"/>
    </row>
    <row r="38" customFormat="false" ht="15" hidden="false" customHeight="false" outlineLevel="0" collapsed="false">
      <c r="A38" s="51" t="str">
        <f aca="false">A7</f>
        <v>Chuyền 2</v>
      </c>
      <c r="B38" s="51"/>
      <c r="C38" s="51"/>
      <c r="D38" s="20" t="n">
        <f aca="false">IF(A38="","",AG7)</f>
        <v>1140</v>
      </c>
      <c r="E38" s="20"/>
      <c r="F38" s="20"/>
      <c r="G38" s="20" t="n">
        <f aca="false">IF(A38="","",SUMPRODUCT((NHAP_LIEU!$B$5:$B$10004=A38)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325</v>
      </c>
      <c r="H38" s="20"/>
      <c r="I38" s="20"/>
      <c r="J38" s="26" t="n">
        <f aca="false">IF(OR(A38="",N(G38)=0),"",D38/G38)</f>
        <v>3.50769230769231</v>
      </c>
      <c r="K38" s="26"/>
      <c r="L38" s="26"/>
      <c r="M38" s="20" t="n">
        <f aca="false">IF(A38="","",SUMPRODUCT((NHAP_LIEU!$B$5:$B$10004=A38)*(NHAP_LIEU!$A$5:$A$10004&gt;=$J$2)*(NHAP_LIEU!$A$5:$A$10004&lt;DATE(YEAR($J$2),MONTH($J$2)+1,1))*NHAP_LIEU!$AH$5:$AH$10004))</f>
        <v>11</v>
      </c>
      <c r="N38" s="20"/>
      <c r="O38" s="20"/>
      <c r="P38" s="27" t="n">
        <f aca="false">IF(OR(A38="",N(D38)=0),"",M38/D38)</f>
        <v>0.00964912280701754</v>
      </c>
      <c r="Q38" s="27"/>
      <c r="R38" s="27"/>
    </row>
    <row r="39" customFormat="false" ht="15" hidden="false" customHeight="false" outlineLevel="0" collapsed="false">
      <c r="A39" s="51" t="str">
        <f aca="false">A8</f>
        <v>Chuyền 3</v>
      </c>
      <c r="B39" s="51"/>
      <c r="C39" s="51"/>
      <c r="D39" s="20" t="n">
        <f aca="false">IF(A39="","",AG8)</f>
        <v>2035</v>
      </c>
      <c r="E39" s="20"/>
      <c r="F39" s="20"/>
      <c r="G39" s="20" t="n">
        <f aca="false">IF(A39="","",SUMPRODUCT((NHAP_LIEU!$B$5:$B$10004=A39)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330</v>
      </c>
      <c r="H39" s="20"/>
      <c r="I39" s="20"/>
      <c r="J39" s="26" t="n">
        <f aca="false">IF(OR(A39="",N(G39)=0),"",D39/G39)</f>
        <v>6.16666666666667</v>
      </c>
      <c r="K39" s="26"/>
      <c r="L39" s="26"/>
      <c r="M39" s="20" t="n">
        <f aca="false">IF(A39="","",SUMPRODUCT((NHAP_LIEU!$B$5:$B$10004=A39)*(NHAP_LIEU!$A$5:$A$10004&gt;=$J$2)*(NHAP_LIEU!$A$5:$A$10004&lt;DATE(YEAR($J$2),MONTH($J$2)+1,1))*NHAP_LIEU!$AH$5:$AH$10004))</f>
        <v>2</v>
      </c>
      <c r="N39" s="20"/>
      <c r="O39" s="20"/>
      <c r="P39" s="27" t="n">
        <f aca="false">IF(OR(A39="",N(D39)=0),"",M39/D39)</f>
        <v>0.000982800982800983</v>
      </c>
      <c r="Q39" s="27"/>
      <c r="R39" s="27"/>
    </row>
    <row r="40" customFormat="false" ht="15" hidden="false" customHeight="false" outlineLevel="0" collapsed="false">
      <c r="A40" s="51" t="str">
        <f aca="false">A9</f>
        <v>Chuyền 4</v>
      </c>
      <c r="B40" s="51"/>
      <c r="C40" s="51"/>
      <c r="D40" s="20" t="n">
        <f aca="false">IF(A40="","",AG9)</f>
        <v>0</v>
      </c>
      <c r="E40" s="20"/>
      <c r="F40" s="20"/>
      <c r="G40" s="20" t="n">
        <f aca="false">IF(A40="","",SUMPRODUCT((NHAP_LIEU!$B$5:$B$10004=A40)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0</v>
      </c>
      <c r="H40" s="20"/>
      <c r="I40" s="20"/>
      <c r="J40" s="26" t="str">
        <f aca="false">IF(OR(A40="",N(G40)=0),"",D40/G40)</f>
        <v/>
      </c>
      <c r="K40" s="26"/>
      <c r="L40" s="26"/>
      <c r="M40" s="20" t="n">
        <f aca="false">IF(A40="","",SUMPRODUCT((NHAP_LIEU!$B$5:$B$10004=A40)*(NHAP_LIEU!$A$5:$A$10004&gt;=$J$2)*(NHAP_LIEU!$A$5:$A$10004&lt;DATE(YEAR($J$2),MONTH($J$2)+1,1))*NHAP_LIEU!$AH$5:$AH$10004))</f>
        <v>0</v>
      </c>
      <c r="N40" s="20"/>
      <c r="O40" s="20"/>
      <c r="P40" s="27" t="str">
        <f aca="false">IF(OR(A40="",N(D40)=0),"",M40/D40)</f>
        <v/>
      </c>
      <c r="Q40" s="27"/>
      <c r="R40" s="27"/>
    </row>
    <row r="41" customFormat="false" ht="15" hidden="false" customHeight="false" outlineLevel="0" collapsed="false">
      <c r="A41" s="51" t="str">
        <f aca="false">A10</f>
        <v>Chuyền 5</v>
      </c>
      <c r="B41" s="51"/>
      <c r="C41" s="51"/>
      <c r="D41" s="20" t="n">
        <f aca="false">IF(A41="","",AG10)</f>
        <v>0</v>
      </c>
      <c r="E41" s="20"/>
      <c r="F41" s="20"/>
      <c r="G41" s="20" t="n">
        <f aca="false">IF(A41="","",SUMPRODUCT((NHAP_LIEU!$B$5:$B$10004=A41)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0</v>
      </c>
      <c r="H41" s="20"/>
      <c r="I41" s="20"/>
      <c r="J41" s="26" t="str">
        <f aca="false">IF(OR(A41="",N(G41)=0),"",D41/G41)</f>
        <v/>
      </c>
      <c r="K41" s="26"/>
      <c r="L41" s="26"/>
      <c r="M41" s="20" t="n">
        <f aca="false">IF(A41="","",SUMPRODUCT((NHAP_LIEU!$B$5:$B$10004=A41)*(NHAP_LIEU!$A$5:$A$10004&gt;=$J$2)*(NHAP_LIEU!$A$5:$A$10004&lt;DATE(YEAR($J$2),MONTH($J$2)+1,1))*NHAP_LIEU!$AH$5:$AH$10004))</f>
        <v>0</v>
      </c>
      <c r="N41" s="20"/>
      <c r="O41" s="20"/>
      <c r="P41" s="27" t="str">
        <f aca="false">IF(OR(A41="",N(D41)=0),"",M41/D41)</f>
        <v/>
      </c>
      <c r="Q41" s="27"/>
      <c r="R41" s="27"/>
    </row>
    <row r="42" customFormat="false" ht="15" hidden="false" customHeight="false" outlineLevel="0" collapsed="false">
      <c r="A42" s="51" t="str">
        <f aca="false">A11</f>
        <v>Chuyền 6</v>
      </c>
      <c r="B42" s="51"/>
      <c r="C42" s="51"/>
      <c r="D42" s="20" t="n">
        <f aca="false">IF(A42="","",AG11)</f>
        <v>300</v>
      </c>
      <c r="E42" s="20"/>
      <c r="F42" s="20"/>
      <c r="G42" s="20" t="n">
        <f aca="false">IF(A42="","",SUMPRODUCT((NHAP_LIEU!$B$5:$B$10004=A42)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>80</v>
      </c>
      <c r="H42" s="20"/>
      <c r="I42" s="20"/>
      <c r="J42" s="26" t="n">
        <f aca="false">IF(OR(A42="",N(G42)=0),"",D42/G42)</f>
        <v>3.75</v>
      </c>
      <c r="K42" s="26"/>
      <c r="L42" s="26"/>
      <c r="M42" s="20" t="n">
        <f aca="false">IF(A42="","",SUMPRODUCT((NHAP_LIEU!$B$5:$B$10004=A42)*(NHAP_LIEU!$A$5:$A$10004&gt;=$J$2)*(NHAP_LIEU!$A$5:$A$10004&lt;DATE(YEAR($J$2),MONTH($J$2)+1,1))*NHAP_LIEU!$AH$5:$AH$10004))</f>
        <v>0</v>
      </c>
      <c r="N42" s="20"/>
      <c r="O42" s="20"/>
      <c r="P42" s="27" t="n">
        <f aca="false">IF(OR(A42="",N(D42)=0),"",M42/D42)</f>
        <v>0</v>
      </c>
      <c r="Q42" s="27"/>
      <c r="R42" s="27"/>
    </row>
  </sheetData>
  <mergeCells count="81">
    <mergeCell ref="A1:P1"/>
    <mergeCell ref="A2:E2"/>
    <mergeCell ref="H2:I2"/>
    <mergeCell ref="A25:C25"/>
    <mergeCell ref="D25:F25"/>
    <mergeCell ref="G25:I25"/>
    <mergeCell ref="J25:L25"/>
    <mergeCell ref="A26:C26"/>
    <mergeCell ref="D26:F26"/>
    <mergeCell ref="G26:I26"/>
    <mergeCell ref="J26:L26"/>
    <mergeCell ref="A27:C27"/>
    <mergeCell ref="D27:F27"/>
    <mergeCell ref="G27:I27"/>
    <mergeCell ref="J27:L27"/>
    <mergeCell ref="A28:C28"/>
    <mergeCell ref="D28:F28"/>
    <mergeCell ref="G28:I28"/>
    <mergeCell ref="J28:L28"/>
    <mergeCell ref="A29:C29"/>
    <mergeCell ref="D29:F29"/>
    <mergeCell ref="G29:I29"/>
    <mergeCell ref="J29:L29"/>
    <mergeCell ref="A30:C30"/>
    <mergeCell ref="D30:F30"/>
    <mergeCell ref="G30:I30"/>
    <mergeCell ref="J30:L30"/>
    <mergeCell ref="A31:C31"/>
    <mergeCell ref="D31:F31"/>
    <mergeCell ref="G31:I31"/>
    <mergeCell ref="J31:L31"/>
    <mergeCell ref="A32:C32"/>
    <mergeCell ref="D32:F32"/>
    <mergeCell ref="G32:I32"/>
    <mergeCell ref="J32:L32"/>
    <mergeCell ref="A33:C33"/>
    <mergeCell ref="D33:F33"/>
    <mergeCell ref="G33:I33"/>
    <mergeCell ref="J33:L33"/>
    <mergeCell ref="A36:C36"/>
    <mergeCell ref="D36:F36"/>
    <mergeCell ref="G36:I36"/>
    <mergeCell ref="J36:L36"/>
    <mergeCell ref="M36:O36"/>
    <mergeCell ref="P36:R36"/>
    <mergeCell ref="A37:C37"/>
    <mergeCell ref="D37:F37"/>
    <mergeCell ref="G37:I37"/>
    <mergeCell ref="J37:L37"/>
    <mergeCell ref="M37:O37"/>
    <mergeCell ref="P37:R37"/>
    <mergeCell ref="A38:C38"/>
    <mergeCell ref="D38:F38"/>
    <mergeCell ref="G38:I38"/>
    <mergeCell ref="J38:L38"/>
    <mergeCell ref="M38:O38"/>
    <mergeCell ref="P38:R38"/>
    <mergeCell ref="A39:C39"/>
    <mergeCell ref="D39:F39"/>
    <mergeCell ref="G39:I39"/>
    <mergeCell ref="J39:L39"/>
    <mergeCell ref="M39:O39"/>
    <mergeCell ref="P39:R39"/>
    <mergeCell ref="A40:C40"/>
    <mergeCell ref="D40:F40"/>
    <mergeCell ref="G40:I40"/>
    <mergeCell ref="J40:L40"/>
    <mergeCell ref="M40:O40"/>
    <mergeCell ref="P40:R40"/>
    <mergeCell ref="A41:C41"/>
    <mergeCell ref="D41:F41"/>
    <mergeCell ref="G41:I41"/>
    <mergeCell ref="J41:L41"/>
    <mergeCell ref="M41:O41"/>
    <mergeCell ref="P41:R41"/>
    <mergeCell ref="A42:C42"/>
    <mergeCell ref="D42:F42"/>
    <mergeCell ref="G42:I42"/>
    <mergeCell ref="J42:L42"/>
    <mergeCell ref="M42:O42"/>
    <mergeCell ref="P42:R42"/>
  </mergeCells>
  <conditionalFormatting sqref="B17:AF22">
    <cfRule type="expression" priority="2" aboveAverage="0" equalAverage="0" bottom="0" percent="0" rank="0" text="" dxfId="7">
      <formula>AND(ISNUMBER(B17),B17&lt;1)</formula>
    </cfRule>
    <cfRule type="expression" priority="3" aboveAverage="0" equalAverage="0" bottom="0" percent="0" rank="0" text="" dxfId="12">
      <formula>AND(ISNUMBER(B17),B17&gt;=1)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2026-10-02T05:10:13Z</dcterms:created>
  <dc:creator>openpyxl</dc:creator>
  <dc:description/>
  <dc:language>en-US</dc:language>
  <cp:lastModifiedBy/>
  <dcterms:modified xsi:type="dcterms:W3CDTF">2026-10-02T05:10:13Z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