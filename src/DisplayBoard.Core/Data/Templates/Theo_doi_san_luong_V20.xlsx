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HUONG_DAN" sheetId="1" state="visible" r:id="rId1"/>
    <sheet name="CAU_HINH_CA" sheetId="2" state="visible" r:id="rId2"/>
    <sheet name="DANH_SACH_CHUYEN" sheetId="3" state="visible" r:id="rId3"/>
    <sheet name="DANH_SACH_SAN_PHAM" sheetId="4" state="visible" r:id="rId4"/>
    <sheet name="DANH_SACH_LY_DO" sheetId="5" state="visible" r:id="rId5"/>
    <sheet name="DANH_SACH_LOAI_LOI" sheetId="6" state="visible" r:id="rId6"/>
    <sheet name="LICH_LAM_VIEC" sheetId="7" state="visible" r:id="rId7"/>
    <sheet name="NHAP_LIEU" sheetId="8" state="visible" r:id="rId8"/>
    <sheet name="HANG_LOI" sheetId="9" state="visible" r:id="rId9"/>
    <sheet name="MUC_TIEU_THANG" sheetId="10" state="visible" r:id="rId10"/>
    <sheet name="HIEN_THI" sheetId="11" state="visible" r:id="rId11"/>
    <sheet name="BAO_CAO_THANG" sheetId="12" state="visible" r:id="rId12"/>
  </sheets>
  <definedNames>
    <definedName name="DS_MA_CA">OFFSET(CAU_HINH_CA!$A$5,0,0,MAX(1,COUNTA(CAU_HINH_CA!$A$5:$A$50)),1)</definedName>
    <definedName name="DS_CHUYEN">OFFSET(DANH_SACH_CHUYEN!$B$5,0,0,MAX(1,COUNTA(DANH_SACH_CHUYEN!$B$5:$B$1000)),1)</definedName>
    <definedName name="DS_MA_SAN_PHAM">OFFSET(DANH_SACH_SAN_PHAM!$A$5,0,0,MAX(1,COUNTA(DANH_SACH_SAN_PHAM!$A$5:$A$1000)),1)</definedName>
    <definedName name="DS_LY_DO">OFFSET(DANH_SACH_LY_DO!$A$5,0,0,MAX(1,COUNTA(DANH_SACH_LY_DO!$A$5:$A$1000)),1)</definedName>
    <definedName name="DS_LOAI_LOI">OFFSET(DANH_SACH_LOAI_LOI!$A$5,0,0,MAX(1,COUNTA(DANH_SACH_LOAI_LOI!$A$5:$A$1000)),1)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#"/>
    <numFmt numFmtId="165" formatCode="hh:mm"/>
    <numFmt numFmtId="166" formatCode="dd/mm/yyyy"/>
    <numFmt numFmtId="167" formatCode="0.0%"/>
    <numFmt numFmtId="168" formatCode="#,##0;[Red]-#,##0"/>
    <numFmt numFmtId="169" formatCode="dd/mm/yyyy;;"/>
    <numFmt numFmtId="170" formatCode="0.0"/>
    <numFmt numFmtId="171" formatCode="mm/yyyy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344767"/>
      <sz val="10"/>
    </font>
    <font>
      <name val="Calibri"/>
      <b val="1"/>
      <color rgb="FF344767"/>
      <sz val="9"/>
    </font>
    <font>
      <name val="Calibri"/>
      <sz val="11"/>
    </font>
    <font>
      <name val="Calibri"/>
      <b val="1"/>
      <color rgb="FF1F4E78"/>
      <sz val="11"/>
    </font>
    <font>
      <name val="Calibri"/>
      <b val="1"/>
      <color rgb="FFC00000"/>
      <sz val="12"/>
    </font>
    <font>
      <name val="Calibri"/>
      <b val="1"/>
      <sz val="11"/>
    </font>
    <font>
      <name val="Calibri"/>
      <b val="1"/>
      <color rgb="FF1F4E78"/>
      <sz val="12"/>
    </font>
    <font>
      <name val="Calibri"/>
      <b val="1"/>
      <color rgb="FF1F4E78"/>
      <sz val="16"/>
    </font>
    <font>
      <name val="Calibri"/>
      <color rgb="FF000000"/>
      <sz val="12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E699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9E6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5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4" fontId="5" fillId="0" borderId="1" pivotButton="0" quotePrefix="0" xfId="0"/>
    <xf numFmtId="165" fontId="5" fillId="0" borderId="1" applyProtection="1" pivotButton="0" quotePrefix="0" xfId="0">
      <protection locked="0" hidden="0"/>
    </xf>
    <xf numFmtId="166" fontId="5" fillId="0" borderId="1" applyProtection="1" pivotButton="0" quotePrefix="0" xfId="0">
      <protection locked="0" hidden="0"/>
    </xf>
    <xf numFmtId="0" fontId="5" fillId="0" borderId="1" pivotButton="0" quotePrefix="0" xfId="0"/>
    <xf numFmtId="3" fontId="5" fillId="0" borderId="1" applyProtection="1" pivotButton="0" quotePrefix="0" xfId="0">
      <protection locked="0" hidden="0"/>
    </xf>
    <xf numFmtId="3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" fontId="5" fillId="0" borderId="1" pivotButton="0" quotePrefix="0" xfId="0"/>
    <xf numFmtId="169" fontId="5" fillId="0" borderId="1" pivotButton="0" quotePrefix="0" xfId="0"/>
    <xf numFmtId="1" fontId="5" fillId="0" borderId="1" applyProtection="1" pivotButton="0" quotePrefix="0" xfId="0">
      <protection locked="0" hidden="0"/>
    </xf>
    <xf numFmtId="170" fontId="5" fillId="0" borderId="1" pivotButton="0" quotePrefix="0" xfId="0"/>
    <xf numFmtId="10" fontId="5" fillId="0" borderId="1" pivotButton="0" quotePrefix="0" xfId="0"/>
    <xf numFmtId="49" fontId="5" fillId="0" borderId="1" pivotButton="0" quotePrefix="0" xfId="0"/>
    <xf numFmtId="171" fontId="5" fillId="0" borderId="1" applyProtection="1" pivotButton="0" quotePrefix="0" xfId="0">
      <protection locked="0" hidden="0"/>
    </xf>
    <xf numFmtId="0" fontId="6" fillId="0" borderId="0" applyAlignment="1" pivotButton="0" quotePrefix="0" xfId="0">
      <alignment horizontal="right"/>
    </xf>
    <xf numFmtId="166" fontId="0" fillId="7" borderId="1" applyProtection="1" pivotButton="0" quotePrefix="0" xfId="0">
      <protection locked="0" hidden="0"/>
    </xf>
    <xf numFmtId="166" fontId="7" fillId="8" borderId="1" pivotButton="0" quotePrefix="0" xfId="0"/>
    <xf numFmtId="166" fontId="5" fillId="0" borderId="1" pivotButton="0" quotePrefix="0" xfId="0"/>
    <xf numFmtId="166" fontId="8" fillId="6" borderId="1" pivotButton="0" quotePrefix="0" xfId="0"/>
    <xf numFmtId="0" fontId="8" fillId="6" borderId="1" pivotButton="0" quotePrefix="0" xfId="0"/>
    <xf numFmtId="49" fontId="8" fillId="6" borderId="1" pivotButton="0" quotePrefix="0" xfId="0"/>
    <xf numFmtId="164" fontId="8" fillId="6" borderId="1" pivotButton="0" quotePrefix="0" xfId="0"/>
    <xf numFmtId="3" fontId="8" fillId="6" borderId="1" pivotButton="0" quotePrefix="0" xfId="0"/>
    <xf numFmtId="167" fontId="8" fillId="6" borderId="1" pivotButton="0" quotePrefix="0" xfId="0"/>
    <xf numFmtId="168" fontId="8" fillId="6" borderId="1" pivotButton="0" quotePrefix="0" xfId="0"/>
    <xf numFmtId="1" fontId="8" fillId="6" borderId="1" pivotButton="0" quotePrefix="0" xfId="0"/>
    <xf numFmtId="169" fontId="8" fillId="6" borderId="1" pivotButton="0" quotePrefix="0" xfId="0"/>
    <xf numFmtId="170" fontId="8" fillId="6" borderId="1" pivotButton="0" quotePrefix="0" xfId="0"/>
    <xf numFmtId="10" fontId="8" fillId="6" borderId="1" pivotButton="0" quotePrefix="0" xfId="0"/>
    <xf numFmtId="0" fontId="1" fillId="2" borderId="0" pivotButton="0" quotePrefix="0" xfId="0"/>
    <xf numFmtId="0" fontId="9" fillId="0" borderId="0" pivotButton="0" quotePrefix="0" xfId="0"/>
    <xf numFmtId="171" fontId="5" fillId="7" borderId="1" pivotButton="0" quotePrefix="0" xfId="0"/>
    <xf numFmtId="171" fontId="7" fillId="8" borderId="1" pivotButton="0" quotePrefix="0" xfId="0"/>
    <xf numFmtId="0" fontId="8" fillId="0" borderId="1" pivotButton="0" quotePrefix="0" xfId="0"/>
    <xf numFmtId="3" fontId="8" fillId="0" borderId="1" pivotButton="0" quotePrefix="0" xfId="0"/>
    <xf numFmtId="167" fontId="8" fillId="0" borderId="1" pivotButton="0" quotePrefix="0" xfId="0"/>
    <xf numFmtId="3" fontId="5" fillId="6" borderId="1" pivotButton="0" quotePrefix="0" xfId="0"/>
    <xf numFmtId="9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5">
    <dxf>
      <fill>
        <patternFill patternType="solid">
          <fgColor rgb="FFF8CBAD"/>
        </patternFill>
      </fill>
    </dxf>
    <dxf>
      <font>
        <b val="1"/>
        <color rgb="FF9C0006"/>
      </font>
      <fill>
        <patternFill patternType="solid">
          <fgColor rgb="FFFF7C80"/>
        </patternFill>
      </fill>
    </dxf>
    <dxf>
      <font>
        <b val="1"/>
        <color rgb="FFC00000"/>
      </font>
    </dxf>
    <dxf>
      <font>
        <b val="1"/>
        <color rgb="FF007A33"/>
      </font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Sản lượng thực tế và mục tiêu theo ngày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'BAO_CAO_THANG'!A12</f>
            </strRef>
          </tx>
          <spPr>
            <a:ln>
              <a:prstDash val="solid"/>
            </a:ln>
          </spPr>
          <cat>
            <numRef>
              <f>'BAO_CAO_THANG'!$B$5:$AF$5</f>
            </numRef>
          </cat>
          <val>
            <numRef>
              <f>'BAO_CAO_THANG'!$B$12:$AF$12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'BAO_CAO_THANG'!A13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'BAO_CAO_THANG'!$B$13:$AF$13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Ngày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PCS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108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auHinhCa" displayName="tblCauHinhCa" ref="A4:J8" headerRowCount="1">
  <autoFilter ref="A4:J8"/>
  <tableColumns count="10">
    <tableColumn id="1" name="1"/>
    <tableColumn id="2" name="2"/>
    <tableColumn id="3" name="3">
      <calculatedColumnFormula>IF(A5="","",ROUND(((E5-D5)+(G5-F5)+(I5-H5))*24,2))</calculatedColumnFormula>
    </tableColumn>
    <tableColumn id="4" name="4"/>
    <tableColumn id="5" name="5"/>
    <tableColumn id="6" name="6"/>
    <tableColumn id="7" name="7"/>
    <tableColumn id="8" name="8"/>
    <tableColumn id="9" name="9"/>
    <tableColumn id="10" name="10"/>
  </tableColumns>
  <tableStyleInfo name="TableStyleMedium2" showRowStripes="1"/>
</table>
</file>

<file path=xl/tables/table2.xml><?xml version="1.0" encoding="utf-8"?>
<table xmlns="http://schemas.openxmlformats.org/spreadsheetml/2006/main" id="2" name="tblDanhSachChuyen" displayName="tblDanhSachChuyen" ref="A4:D10" headerRowCount="1">
  <autoFilter ref="A4:D10"/>
  <tableColumns count="4">
    <tableColumn id="1" name="1"/>
    <tableColumn id="2" name="2"/>
    <tableColumn id="3" name="3"/>
    <tableColumn id="4" name="4"/>
  </tableColumns>
  <tableStyleInfo name="TableStyleMedium2" showRowStripes="1"/>
</table>
</file>

<file path=xl/tables/table3.xml><?xml version="1.0" encoding="utf-8"?>
<table xmlns="http://schemas.openxmlformats.org/spreadsheetml/2006/main" id="3" name="tblDanhSachSanPham" displayName="tblDanhSachSanPham" ref="A4:D9" headerRowCount="1">
  <autoFilter ref="A4:D9"/>
  <tableColumns count="4">
    <tableColumn id="1" name="1"/>
    <tableColumn id="2" name="2"/>
    <tableColumn id="3" name="3"/>
    <tableColumn id="4" name="4"/>
  </tableColumns>
  <tableStyleInfo name="TableStyleMedium2" showRowStripes="1"/>
</table>
</file>

<file path=xl/tables/table4.xml><?xml version="1.0" encoding="utf-8"?>
<table xmlns="http://schemas.openxmlformats.org/spreadsheetml/2006/main" id="4" name="tblDanhSachLyDo" displayName="tblDanhSachLyDo" ref="A4:B10" headerRowCount="1">
  <autoFilter ref="A4:B10"/>
  <tableColumns count="2">
    <tableColumn id="1" name="1"/>
    <tableColumn id="2" name="2"/>
  </tableColumns>
  <tableStyleInfo name="TableStyleMedium2" showRowStripes="1"/>
</table>
</file>

<file path=xl/tables/table5.xml><?xml version="1.0" encoding="utf-8"?>
<table xmlns="http://schemas.openxmlformats.org/spreadsheetml/2006/main" id="5" name="tblDanhSachLoaiLoi" displayName="tblDanhSachLoaiLoi" ref="A4:B10" headerRowCount="1">
  <autoFilter ref="A4:B10"/>
  <tableColumns count="2">
    <tableColumn id="1" name="1"/>
    <tableColumn id="2" name="2"/>
  </tableColumns>
  <tableStyleInfo name="TableStyleMedium2" showRowStripes="1"/>
</table>
</file>

<file path=xl/tables/table6.xml><?xml version="1.0" encoding="utf-8"?>
<table xmlns="http://schemas.openxmlformats.org/spreadsheetml/2006/main" id="6" name="tblLichLamViec" displayName="tblLichLamViec" ref="A4:D5" headerRowCount="1">
  <autoFilter ref="A4:D5"/>
  <tableColumns count="4">
    <tableColumn id="1" name="1"/>
    <tableColumn id="2" name="2"/>
    <tableColumn id="3" name="3">
      <calculatedColumnFormula>IF(A5="","",CHOOSE(WEEKDAY(A5),"CN","T2","T3","T4","T5","T6","T7"))</calculatedColumnFormula>
    </tableColumn>
    <tableColumn id="4" name="4"/>
  </tableColumns>
  <tableStyleInfo name="TableStyleMedium2" showRowStripes="1"/>
</table>
</file>

<file path=xl/tables/table7.xml><?xml version="1.0" encoding="utf-8"?>
<table xmlns="http://schemas.openxmlformats.org/spreadsheetml/2006/main" id="7" name="tblNhapLieu" displayName="tblNhapLieu" ref="A4:AL9" headerRowCount="1">
  <autoFilter ref="A4:AL9"/>
  <tableColumns count="38">
    <tableColumn id="1" name="1"/>
    <tableColumn id="2" name="2"/>
    <tableColumn id="3" name="3"/>
    <tableColumn id="4" name="4"/>
    <tableColumn id="5" name="5"/>
    <tableColumn id="6" name="6">
      <calculatedColumnFormula>IF(D5="","",IFERROR(INDEX(CAU_HINH_CA!$C$5:$C$50,MATCH(D5,CAU_HINH_CA!$A$5:$A$50,0)),""))</calculatedColumnFormula>
    </tableColumn>
    <tableColumn id="7" name="7">
      <calculatedColumnFormula>IF(OR(F5="",E5=""),"",ROUND(F5*E5,0))</calculatedColumnFormula>
    </tableColumn>
    <tableColumn id="8" name="8"/>
    <tableColumn id="9" name="9"/>
    <tableColumn id="10" name="10"/>
    <tableColumn id="11" name="11"/>
    <tableColumn id="12" name="12"/>
    <tableColumn id="13" name="13"/>
    <tableColumn id="14" name="14"/>
    <tableColumn id="15" name="15"/>
    <tableColumn id="16" name="16"/>
    <tableColumn id="17" name="17"/>
    <tableColumn id="18" name="18"/>
    <tableColumn id="19" name="19"/>
    <tableColumn id="20" name="20">
      <calculatedColumnFormula>IF(COUNT(H5:S5)=0,"",SUM(H5:S5))</calculatedColumnFormula>
    </tableColumn>
    <tableColumn id="21" name="21">
      <calculatedColumnFormula>IF(OR(T5="",N(G5)=0),"",T5/G5)</calculatedColumnFormula>
    </tableColumn>
    <tableColumn id="22" name="22">
      <calculatedColumnFormula>IF(OR(T5="",G5=""),"",T5-G5)</calculatedColumnFormula>
    </tableColumn>
    <tableColumn id="23" name="23">
      <calculatedColumnFormula>IF(OR(T5="",G5=""),"",MAX(0,G5-T5))</calculatedColumnFormula>
    </tableColumn>
    <tableColumn id="24" name="24">
      <calculatedColumnFormula>IF(A5="","",COUNT(H5:S5))</calculatedColumnFormula>
    </tableColumn>
    <tableColumn id="25" name="25">
      <calculatedColumnFormula>IF(OR(X5="",E5="",G5=""),"",MIN(G5,X5*E5))</calculatedColumnFormula>
    </tableColumn>
    <tableColumn id="26" name="26">
      <calculatedColumnFormula>IF(OR(T5="",N(Y5)=0),"",T5/Y5)</calculatedColumnFormula>
    </tableColumn>
    <tableColumn id="27" name="27">
      <calculatedColumnFormula>IF(OR(A5="",B5=""),"",IF(SUMPRODUCT(MAX(($B$5:$B$10004=B5)*($A$5:$A$10004&lt;A5)*$A$5:$A$10004))=0,"",SUMPRODUCT(MAX(($B$5:$B$10004=B5)*($A$5:$A$10004&lt;A5)*$A$5:$A$10004))))</calculatedColumnFormula>
    </tableColumn>
    <tableColumn id="28" name="28">
      <calculatedColumnFormula>IF(N(AA5)=0,"",SUMIFS($W$5:$W$10004,$B$5:$B$10004,B5,$A$5:$A$10004,AA5))</calculatedColumnFormula>
    </tableColumn>
    <tableColumn id="29" name="29"/>
    <tableColumn id="30" name="30"/>
    <tableColumn id="31" name="31">
      <calculatedColumnFormula>IF(OR(A5="",B5=""),"",IF(COUNTIFS($A$5:$A$10004,A5,$B$5:$B$10004,B5)&gt;1,"TRÙNG NGÀY + CHUYỀN",IF(G5="","THIẾU MÃ CA / MỤC TIÊU GIỜ",IF(SUMPRODUCT((COLUMN(H5:S5)-COLUMN(H5)+1&gt;ROUNDUP(F5,0))*(H5:S5&lt;&gt;""))&gt;0,"NHẬP QUÁ GIỜ CA",IF(AND(N(X5)&gt;=ROUNDUP(N(F5),0),N(F5)&gt;0,N(T5)&lt;N(G5),AI5=""),"CHƯA GHI LÝ DO KHÔNG ĐẠT",IF(COUNTIFS(MUC_TIEU_THANG!$B$5:$B$2004,C5,MUC_TIEU_THANG!$A$5:$A$2004,"&gt;="&amp;DATE(YEAR(A5),MONTH(A5),1),MUC_TIEU_THANG!$A$5:$A$2004,"&lt;"&amp;DATE(YEAR(A5),MONTH(A5)+1,1))=0,"CHƯA CÓ MỤC TIÊU THÁNG","OK"))))))</calculatedColumnFormula>
    </tableColumn>
    <tableColumn id="32" name="32">
      <calculatedColumnFormula>IF(OR(A5="",B5=""),"",B5&amp;"|"&amp;A5)</calculatedColumnFormula>
    </tableColumn>
    <tableColumn id="33" name="33"/>
    <tableColumn id="34" name="34">
      <calculatedColumnFormula>IF(OR(A5="",B5="",COUNTIFS(HANG_LOI!$A$5:$A$10004,A5,HANG_LOI!$C$5:$C$10004,B5)=0),"",SUMIFS(HANG_LOI!$F$5:$F$10004,HANG_LOI!$A$5:$A$10004,A5,HANG_LOI!$C$5:$C$10004,B5))</calculatedColumnFormula>
    </tableColumn>
    <tableColumn id="35" name="35"/>
    <tableColumn id="36" name="36"/>
    <tableColumn id="37" name="37">
      <calculatedColumnFormula>IF(OR(T5="",N(AG5)=0,N(X5)=0),"",T5/(AG5*X5))</calculatedColumnFormula>
    </tableColumn>
    <tableColumn id="38" name="38">
      <calculatedColumnFormula>IF(OR(AH5="",N(T5)=0),"",AH5/T5)</calculatedColumnFormula>
    </tableColumn>
  </tableColumns>
  <tableStyleInfo name="TableStyleMedium2" showRowStripes="1"/>
</table>
</file>

<file path=xl/tables/table8.xml><?xml version="1.0" encoding="utf-8"?>
<table xmlns="http://schemas.openxmlformats.org/spreadsheetml/2006/main" id="8" name="tblHangLoi" displayName="tblHangLoi" ref="A4:J6" headerRowCount="1">
  <autoFilter ref="A4:J6"/>
  <tableColumns count="10">
    <tableColumn id="1" name="1"/>
    <tableColumn id="2" name="2"/>
    <tableColumn id="3" name="3"/>
    <tableColumn id="4" name="4">
      <calculatedColumnFormula>IF(OR(A5="",C5=""),"",IFERROR(INDEX(NHAP_LIEU!$C$5:$C$10004,MATCH(1,INDEX((NHAP_LIEU!$A$5:$A$10004=A5)*(NHAP_LIEU!$B$5:$B$10004=C5),0),0))&amp;"",""))</calculatedColumnFormula>
    </tableColumn>
    <tableColumn id="5" name="5"/>
    <tableColumn id="6" name="6"/>
    <tableColumn id="7" name="7"/>
    <tableColumn id="8" name="8"/>
    <tableColumn id="9" name="9">
      <calculatedColumnFormula>IF(OR(A5="",C5=""),"",IF(A5=HIEN_THI!$M$1,"CÓ",""))</calculatedColumnFormula>
    </tableColumn>
    <tableColumn id="10" name="10">
      <calculatedColumnFormula>IF(AND(A5="",C5=""),"",IF(OR(A5="",C5=""),"THIẾU NGÀY / CHUYỀN",IF(D5="","CHƯA CÓ DÒNG NHẬP LIỆU NGÀY NÀY",IF(N(F5)&lt;=0,"THIẾU SỐ LƯỢNG",IF(E5="","CHƯA CHỌN LOẠI LỖI",IF(G5="","OK (chưa có ảnh)","OK"))))))</calculatedColumnFormula>
    </tableColumn>
  </tableColumns>
  <tableStyleInfo name="TableStyleMedium2" showRowStripes="1"/>
</table>
</file>

<file path=xl/tables/table9.xml><?xml version="1.0" encoding="utf-8"?>
<table xmlns="http://schemas.openxmlformats.org/spreadsheetml/2006/main" id="9" name="tblMucTieuThang" displayName="tblMucTieuThang" ref="A4:M8" headerRowCount="1">
  <autoFilter ref="A4:M8"/>
  <tableColumns count="13">
    <tableColumn id="1" name="1"/>
    <tableColumn id="2" name="2"/>
    <tableColumn id="3" name="3"/>
    <tableColumn id="4" name="4"/>
    <tableColumn id="5" name="5">
      <calculatedColumnFormula>IF(OR(A5="",B5=""),"",SUMPRODUCT((NHAP_LIEU!$C$5:$C$10004=B5)*(NHAP_LIEU!$A$5:$A$10004&gt;=DATE(YEAR(A5),MONTH(A5),1))*(NHAP_LIEU!$A$5:$A$10004&lt;DATE(YEAR(A5),MONTH(A5)+1,1))*NHAP_LIEU!$H$5:$S$10004))</calculatedColumnFormula>
    </tableColumn>
    <tableColumn id="6" name="6">
      <calculatedColumnFormula>IF(OR(E5="",C5=""),"",E5-C5)</calculatedColumnFormula>
    </tableColumn>
    <tableColumn id="7" name="7">
      <calculatedColumnFormula>IF(OR(E5="",N(C5)=0),"",E5/C5)</calculatedColumnFormula>
    </tableColumn>
    <tableColumn id="8" name="8">
      <calculatedColumnFormula>IF(OR(E5="",C5=""),"",MAX(0,C5-E5))</calculatedColumnFormula>
    </tableColumn>
    <tableColumn id="9" name="9">
      <calculatedColumnFormula>IF(OR(A5="",B5=""),"",SUMPRODUCT((NHAP_LIEU!$C$5:$C$10004=B5)*(NHAP_LIEU!$A$5:$A$10004&gt;=DATE(YEAR(A5),MONTH(A5),1))*(NHAP_LIEU!$A$5:$A$10004&lt;DATE(YEAR(A5),MONTH(A5)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calculatedColumnFormula>
    </tableColumn>
    <tableColumn id="10" name="10">
      <calculatedColumnFormula>IF(I5="","",E5-I5)</calculatedColumnFormula>
    </tableColumn>
    <tableColumn id="11" name="11">
      <calculatedColumnFormula>IF(OR(A5="",B5=""),"",SUMIFS($H$5:$H$2004,$B$5:$B$2004,B5,$A$5:$A$2004,"&gt;="&amp;DATE(YEAR(A5),MONTH(A5)-1,1),$A$5:$A$2004,"&lt;"&amp;DATE(YEAR(A5),MONTH(A5),1)))</calculatedColumnFormula>
    </tableColumn>
    <tableColumn id="12" name="12">
      <calculatedColumnFormula>IF(A5="","",MAX(0,NETWORKDAYS.INTL(DATE(YEAR(A5),MONTH(A5),1),EOMONTH(A5,0),11)-SUMPRODUCT((LICH_LAM_VIEC!$A$5:$A$1000&gt;=DATE(YEAR(A5),MONTH(A5),1))*(LICH_LAM_VIEC!$A$5:$A$1000&lt;=EOMONTH(A5,0))*(LICH_LAM_VIEC!$B$5:$B$1000="Nghỉ")*(WEEKDAY(LICH_LAM_VIEC!$A$5:$A$1000)&lt;&gt;1))+SUMPRODUCT((LICH_LAM_VIEC!$A$5:$A$1000&gt;=DATE(YEAR(A5),MONTH(A5),1))*(LICH_LAM_VIEC!$A$5:$A$1000&lt;=EOMONTH(A5,0))*(LICH_LAM_VIEC!$B$5:$B$1000="Làm bù")*(WEEKDAY(LICH_LAM_VIEC!$A$5:$A$1000)=1))))</calculatedColumnFormula>
    </tableColumn>
    <tableColumn id="13" name="13">
      <calculatedColumnFormula>IF(OR(N(L5)=0,C5=""),"",ROUNDUP(C5/L5,0))</calculatedColumnFormula>
    </tableColumn>
  </tableColumns>
  <tableStyleInfo name="TableStyleMedium2" showRowStripes="1"/>
</table>
</file>

<file path=xl/tables/table10.xml><?xml version="1.0" encoding="utf-8"?>
<table xmlns="http://schemas.openxmlformats.org/spreadsheetml/2006/main" id="10" name="tblHienThi" displayName="tblHienThi" ref="A4:AT10" headerRowCount="1">
  <autoFilter ref="A4:AT10"/>
  <tableColumns count="46">
    <tableColumn id="1" name="1">
      <calculatedColumnFormula>IF(B5="","",$M$1)</calculatedColumnFormula>
    </tableColumn>
    <tableColumn id="2" name="2">
      <calculatedColumnFormula>IF(DANH_SACH_CHUYEN!B5="","",DANH_SACH_CHUYEN!B5)</calculatedColumnFormula>
    </tableColumn>
    <tableColumn id="3" name="3">
      <calculatedColumnFormula>IF($AJ5="","",IF(INDEX(NHAP_LIEU!$C$5:$C$10004,$AJ5)="","",INDEX(NHAP_LIEU!$C$5:$C$10004,$AJ5)))</calculatedColumnFormula>
    </tableColumn>
    <tableColumn id="4" name="4">
      <calculatedColumnFormula>IF($AJ5="","",IF(INDEX(NHAP_LIEU!$D$5:$D$10004,$AJ5)="","",INDEX(NHAP_LIEU!$D$5:$D$10004,$AJ5)))</calculatedColumnFormula>
    </tableColumn>
    <tableColumn id="5" name="5">
      <calculatedColumnFormula>IF(D5="","",IFERROR(INDEX(CAU_HINH_CA!$C$5:$C$50,MATCH(D5,CAU_HINH_CA!$A$5:$A$50,0)),""))</calculatedColumnFormula>
    </tableColumn>
    <tableColumn id="6" name="6">
      <calculatedColumnFormula>IF($AJ5="","",IF(INDEX(NHAP_LIEU!$E$5:$E$10004,$AJ5)="","",INDEX(NHAP_LIEU!$E$5:$E$10004,$AJ5)))</calculatedColumnFormula>
    </tableColumn>
    <tableColumn id="7" name="7">
      <calculatedColumnFormula>IF(OR(E5="",F5=""),"",ROUND(E5*F5,0))</calculatedColumnFormula>
    </tableColumn>
    <tableColumn id="8" name="8">
      <calculatedColumnFormula>IF(COUNT(V5:AG5)=0,"",SUM(V5:AG5))</calculatedColumnFormula>
    </tableColumn>
    <tableColumn id="9" name="9">
      <calculatedColumnFormula>IF(OR(H5="",N(G5)=0),"",H5/G5)</calculatedColumnFormula>
    </tableColumn>
    <tableColumn id="10" name="10">
      <calculatedColumnFormula>IF(OR(H5="",G5=""),"",H5-G5)</calculatedColumnFormula>
    </tableColumn>
    <tableColumn id="11" name="11">
      <calculatedColumnFormula>IF(OR(H5="",G5=""),"",MAX(0,G5-H5))</calculatedColumnFormula>
    </tableColumn>
    <tableColumn id="12" name="12">
      <calculatedColumnFormula>IF(AJ5="","",COUNT(V5:AG5))</calculatedColumnFormula>
    </tableColumn>
    <tableColumn id="13" name="13">
      <calculatedColumnFormula>IF(OR(L5="",F5="",G5=""),"",MIN(G5,L5*F5))</calculatedColumnFormula>
    </tableColumn>
    <tableColumn id="14" name="14">
      <calculatedColumnFormula>IF(OR(H5="",N(M5)=0),"",H5/M5)</calculatedColumnFormula>
    </tableColumn>
    <tableColumn id="15" name="15">
      <calculatedColumnFormula>IF(OR(B5="",A5=""),"",IF(SUMPRODUCT(MAX((NHAP_LIEU!$B$5:$B$10004=B5)*(NHAP_LIEU!$A$5:$A$10004&lt;A5)*NHAP_LIEU!$A$5:$A$10004))=0,"",SUMPRODUCT(MAX((NHAP_LIEU!$B$5:$B$10004=B5)*(NHAP_LIEU!$A$5:$A$10004&lt;A5)*NHAP_LIEU!$A$5:$A$10004))))</calculatedColumnFormula>
    </tableColumn>
    <tableColumn id="16" name="16">
      <calculatedColumnFormula>IF(AK5="","",IF(COUNT(INDEX(NHAP_LIEU!$H$5:$S$10004,AK5,0))=0,0,MAX(0,IFERROR(ROUND(INDEX(CAU_HINH_CA!$C$5:$C$50,MATCH(INDEX(NHAP_LIEU!$D$5:$D$10004,AK5),CAU_HINH_CA!$A$5:$A$50,0))*INDEX(NHAP_LIEU!$E$5:$E$10004,AK5),0),0)-SUM(INDEX(NHAP_LIEU!$H$5:$S$10004,AK5,0)))))</calculatedColumnFormula>
    </tableColumn>
    <tableColumn id="17" name="17">
      <calculatedColumnFormula>IF(C5="","",SUMIFS(MUC_TIEU_THANG!$C$5:$C$2004,MUC_TIEU_THANG!$B$5:$B$2004,C5,MUC_TIEU_THANG!$A$5:$A$2004,"&gt;="&amp;DATE(YEAR(A5),MONTH(A5),1),MUC_TIEU_THANG!$A$5:$A$2004,"&lt;"&amp;DATE(YEAR(A5),MONTH(A5)+1,1)))</calculatedColumnFormula>
    </tableColumn>
    <tableColumn id="18" name="18">
      <calculatedColumnFormula>IF(C5="","",SUMPRODUCT((NHAP_LIEU!$C$5:$C$10004=C5)*(NHAP_LIEU!$A$5:$A$10004&gt;=DATE(YEAR(A5),MONTH(A5),1))*(NHAP_LIEU!$A$5:$A$10004&lt;=A5)*NHAP_LIEU!$H$5:$S$10004))</calculatedColumnFormula>
    </tableColumn>
    <tableColumn id="19" name="19">
      <calculatedColumnFormula>IF(OR(R5="",N(Q5)=0),"",R5/Q5)</calculatedColumnFormula>
    </tableColumn>
    <tableColumn id="20" name="20">
      <calculatedColumnFormula>IF(OR(R5="",N(Q5)=0),"",MAX(0,Q5-R5))</calculatedColumnFormula>
    </tableColumn>
    <tableColumn id="21" name="21">
      <calculatedColumnFormula>IF(B5="","",SUMPRODUCT((NHAP_LIEU!$B$5:$B$10004=B5)*(NHAP_LIEU!$A$5:$A$10004&gt;=DATE(YEAR(A5),MONTH(A5),1))*(NHAP_LIEU!$A$5:$A$10004&lt;=A5)*NHAP_LIEU!$H$5:$S$10004))</calculatedColumnFormula>
    </tableColumn>
    <tableColumn id="22" name="22">
      <calculatedColumnFormula>IF($AJ5="","",IF(INDEX(NHAP_LIEU!$H$5:$H$10004,$AJ5)="","",INDEX(NHAP_LIEU!$H$5:$H$10004,$AJ5)))</calculatedColumnFormula>
    </tableColumn>
    <tableColumn id="23" name="23">
      <calculatedColumnFormula>IF($AJ5="","",IF(INDEX(NHAP_LIEU!$I$5:$I$10004,$AJ5)="","",INDEX(NHAP_LIEU!$I$5:$I$10004,$AJ5)))</calculatedColumnFormula>
    </tableColumn>
    <tableColumn id="24" name="24">
      <calculatedColumnFormula>IF($AJ5="","",IF(INDEX(NHAP_LIEU!$J$5:$J$10004,$AJ5)="","",INDEX(NHAP_LIEU!$J$5:$J$10004,$AJ5)))</calculatedColumnFormula>
    </tableColumn>
    <tableColumn id="25" name="25">
      <calculatedColumnFormula>IF($AJ5="","",IF(INDEX(NHAP_LIEU!$K$5:$K$10004,$AJ5)="","",INDEX(NHAP_LIEU!$K$5:$K$10004,$AJ5)))</calculatedColumnFormula>
    </tableColumn>
    <tableColumn id="26" name="26">
      <calculatedColumnFormula>IF($AJ5="","",IF(INDEX(NHAP_LIEU!$L$5:$L$10004,$AJ5)="","",INDEX(NHAP_LIEU!$L$5:$L$10004,$AJ5)))</calculatedColumnFormula>
    </tableColumn>
    <tableColumn id="27" name="27">
      <calculatedColumnFormula>IF($AJ5="","",IF(INDEX(NHAP_LIEU!$M$5:$M$10004,$AJ5)="","",INDEX(NHAP_LIEU!$M$5:$M$10004,$AJ5)))</calculatedColumnFormula>
    </tableColumn>
    <tableColumn id="28" name="28">
      <calculatedColumnFormula>IF($AJ5="","",IF(INDEX(NHAP_LIEU!$N$5:$N$10004,$AJ5)="","",INDEX(NHAP_LIEU!$N$5:$N$10004,$AJ5)))</calculatedColumnFormula>
    </tableColumn>
    <tableColumn id="29" name="29">
      <calculatedColumnFormula>IF($AJ5="","",IF(INDEX(NHAP_LIEU!$O$5:$O$10004,$AJ5)="","",INDEX(NHAP_LIEU!$O$5:$O$10004,$AJ5)))</calculatedColumnFormula>
    </tableColumn>
    <tableColumn id="30" name="30">
      <calculatedColumnFormula>IF($AJ5="","",IF(INDEX(NHAP_LIEU!$P$5:$P$10004,$AJ5)="","",INDEX(NHAP_LIEU!$P$5:$P$10004,$AJ5)))</calculatedColumnFormula>
    </tableColumn>
    <tableColumn id="31" name="31">
      <calculatedColumnFormula>IF($AJ5="","",IF(INDEX(NHAP_LIEU!$Q$5:$Q$10004,$AJ5)="","",INDEX(NHAP_LIEU!$Q$5:$Q$10004,$AJ5)))</calculatedColumnFormula>
    </tableColumn>
    <tableColumn id="32" name="32">
      <calculatedColumnFormula>IF($AJ5="","",IF(INDEX(NHAP_LIEU!$R$5:$R$10004,$AJ5)="","",INDEX(NHAP_LIEU!$R$5:$R$10004,$AJ5)))</calculatedColumnFormula>
    </tableColumn>
    <tableColumn id="33" name="33">
      <calculatedColumnFormula>IF($AJ5="","",IF(INDEX(NHAP_LIEU!$S$5:$S$10004,$AJ5)="","",INDEX(NHAP_LIEU!$S$5:$S$10004,$AJ5)))</calculatedColumnFormula>
    </tableColumn>
    <tableColumn id="34" name="34">
      <calculatedColumnFormula>IF($AJ5="","",IF(INDEX(NHAP_LIEU!$AC$5:$AC$10004,$AJ5)="","",INDEX(NHAP_LIEU!$AC$5:$AC$10004,$AJ5)))</calculatedColumnFormula>
    </tableColumn>
    <tableColumn id="35" name="35">
      <calculatedColumnFormula>IF($AJ5="","",IF(INDEX(NHAP_LIEU!$AD$5:$AD$10004,$AJ5)="","",INDEX(NHAP_LIEU!$AD$5:$AD$10004,$AJ5)))</calculatedColumnFormula>
    </tableColumn>
    <tableColumn id="36" name="36">
      <calculatedColumnFormula>IF(OR(B5="",A5=""),"",IFERROR(MATCH(1,INDEX((NHAP_LIEU!$A$5:$A$10004=A5)*(NHAP_LIEU!$B$5:$B$10004=B5),0),0),""))</calculatedColumnFormula>
    </tableColumn>
    <tableColumn id="37" name="37">
      <calculatedColumnFormula>IF(O5="","",IFERROR(MATCH(1,INDEX((NHAP_LIEU!$A$5:$A$10004=O5)*(NHAP_LIEU!$B$5:$B$10004=B5),0),0),""))</calculatedColumnFormula>
    </tableColumn>
    <tableColumn id="38" name="38">
      <calculatedColumnFormula>IF(C5="","",SUMIFS(MUC_TIEU_THANG!$K$5:$K$2004,MUC_TIEU_THANG!$B$5:$B$2004,C5,MUC_TIEU_THANG!$A$5:$A$2004,"&gt;="&amp;DATE(YEAR(A5),MONTH(A5),1),MUC_TIEU_THANG!$A$5:$A$2004,"&lt;"&amp;DATE(YEAR(A5),MONTH(A5)+1,1)))</calculatedColumnFormula>
    </tableColumn>
    <tableColumn id="39" name="39">
      <calculatedColumnFormula>IF(A5="","",MAX(0,NETWORKDAYS.INTL(A5,EOMONTH(A5,0),11)-SUMPRODUCT((LICH_LAM_VIEC!$A$5:$A$1000&gt;=A5)*(LICH_LAM_VIEC!$A$5:$A$1000&lt;=EOMONTH(A5,0))*(LICH_LAM_VIEC!$B$5:$B$1000="Nghỉ")*(WEEKDAY(LICH_LAM_VIEC!$A$5:$A$1000)&lt;&gt;1))+SUMPRODUCT((LICH_LAM_VIEC!$A$5:$A$1000&gt;=A5)*(LICH_LAM_VIEC!$A$5:$A$1000&lt;=EOMONTH(A5,0))*(LICH_LAM_VIEC!$B$5:$B$1000="Làm bù")*(WEEKDAY(LICH_LAM_VIEC!$A$5:$A$1000)=1))))</calculatedColumnFormula>
    </tableColumn>
    <tableColumn id="40" name="40">
      <calculatedColumnFormula>IF(OR(C5="",N(Q5)=0,N(AM5)=0),"",ROUNDUP(MAX(0,Q5-SUMPRODUCT((NHAP_LIEU!$C$5:$C$10004=C5)*(NHAP_LIEU!$A$5:$A$10004&gt;=DATE(YEAR(A5),MONTH(A5),1))*(NHAP_LIEU!$A$5:$A$10004&lt;A5)*NHAP_LIEU!$H$5:$S$10004))/AM5,0))</calculatedColumnFormula>
    </tableColumn>
    <tableColumn id="41" name="41">
      <calculatedColumnFormula>IF($AJ5="","",IF(INDEX(NHAP_LIEU!$AG$5:$AG$10004,$AJ5)="","",INDEX(NHAP_LIEU!$AG$5:$AG$10004,$AJ5)))</calculatedColumnFormula>
    </tableColumn>
    <tableColumn id="42" name="42">
      <calculatedColumnFormula>IF(OR(H5="",N(AO5)=0,N(L5)=0),"",H5/(AO5*L5))</calculatedColumnFormula>
    </tableColumn>
    <tableColumn id="43" name="43">
      <calculatedColumnFormula>IF(OR(B5="",A5="",COUNTIFS(HANG_LOI!$A$5:$A$10004,A5,HANG_LOI!$C$5:$C$10004,B5)=0),"",SUMIFS(HANG_LOI!$F$5:$F$10004,HANG_LOI!$A$5:$A$10004,A5,HANG_LOI!$C$5:$C$10004,B5))</calculatedColumnFormula>
    </tableColumn>
    <tableColumn id="44" name="44">
      <calculatedColumnFormula>IF(OR(AQ5="",N(H5)=0),"",AQ5/H5)</calculatedColumnFormula>
    </tableColumn>
    <tableColumn id="45" name="45">
      <calculatedColumnFormula>IF($AJ5="","",IF(INDEX(NHAP_LIEU!$AI$5:$AI$10004,$AJ5)="","",INDEX(NHAP_LIEU!$AI$5:$AI$10004,$AJ5)))</calculatedColumnFormula>
    </tableColumn>
    <tableColumn id="46" name="46">
      <calculatedColumnFormula>IF($AJ5="","",IF(INDEX(NHAP_LIEU!$AJ$5:$AJ$10004,$AJ5)="","",INDEX(NHAP_LIEU!$AJ$5:$AJ$10004,$AJ5)))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HƯỚNG DẪN SỬ DỤNG – THEO DÕI SẢN LƯỢNG V20</t>
        </is>
      </c>
    </row>
    <row r="2">
      <c r="B2" s="2" t="inlineStr">
        <is>
          <t>Mỗi sheet dữ liệu là một Excel Table (lọc/sắp xếp ở dòng 4). Cột có tiêu đề VÀNG (dòng 3) là cột nhập tay;</t>
        </is>
      </c>
    </row>
    <row r="3">
      <c r="B3" s="2" t="inlineStr">
        <is>
          <t>cột có tiêu đề XANH NHẠT là công thức, KHÔNG gõ đè. Thêm dữ liệu: gõ vào dòng ngay dưới bảng, bảng tự nới ra và tự điền công thức.</t>
        </is>
      </c>
    </row>
    <row r="4">
      <c r="B4" s="2" t="inlineStr">
        <is>
          <t>Dữ liệu bắt đầu từ dòng 5 ở mọi sheet. Dòng 2–3 là tiêu đề Trung/Việt, dòng 4 là số thứ tự cột.</t>
        </is>
      </c>
    </row>
    <row r="5">
      <c r="B5" s="2" t="inlineStr"/>
    </row>
    <row r="6">
      <c r="B6" s="3" t="inlineStr">
        <is>
          <t>1. Danh mục (ít khi đổi)</t>
        </is>
      </c>
    </row>
    <row r="7">
      <c r="B7" s="2" t="inlineStr">
        <is>
          <t>CAU_HINH_CA: mã ca và các đợt làm việc. TỔNG GIỜ tự tính từ giờ bắt đầu/kết thúc.</t>
        </is>
      </c>
    </row>
    <row r="8">
      <c r="B8" s="2" t="inlineStr">
        <is>
          <t>DANH_SACH_CHUYEN: thứ tự ở đây là thứ tự hiển thị trên TV. Thêm chuyền thì thêm 1 dòng ở cả sheet này và bảng HIEN_THI.</t>
        </is>
      </c>
    </row>
    <row r="9">
      <c r="B9" s="2" t="inlineStr">
        <is>
          <t>DANH_SACH_SAN_PHAM: mọi mã sản phẩm. Mã được lưu dạng chữ (883 và "883" là một).</t>
        </is>
      </c>
    </row>
    <row r="10">
      <c r="B10" s="2" t="inlineStr"/>
    </row>
    <row r="11">
      <c r="B11" s="3" t="inlineStr">
        <is>
          <t>2. Đầu tháng</t>
        </is>
      </c>
    </row>
    <row r="12">
      <c r="B12" s="2" t="inlineStr">
        <is>
          <t>MUC_TIEU_THANG: mỗi sản phẩm một dòng cho mỗi tháng. Cột THÁNG gõ dạng 10/2026. Các cột lũy kế tự tính.</t>
        </is>
      </c>
    </row>
    <row r="13">
      <c r="B13" s="2" t="inlineStr"/>
    </row>
    <row r="14">
      <c r="B14" s="3" t="inlineStr">
        <is>
          <t>3. Hằng ngày – sheet NHAP_LIEU</t>
        </is>
      </c>
    </row>
    <row r="15">
      <c r="B15" s="2" t="inlineStr">
        <is>
          <t>Mỗi chuyền một dòng mỗi ngày: NGÀY, CHUYỀN, MÃ SẢN PHẨM, MÃ CA, MỤC TIÊU MỖI GIỜ.</t>
        </is>
      </c>
    </row>
    <row r="16">
      <c r="B16" s="2" t="inlineStr">
        <is>
          <t>Sau mỗi giờ, gõ số lượng làm được vào cột GIỜ 1 … GIỜ 12 (GIỜ 1 = đợt đầu tiên của ca).</t>
        </is>
      </c>
    </row>
    <row r="17">
      <c r="B17" s="2" t="inlineStr">
        <is>
          <t>Máy tự tính: mục tiêu ngày = giờ ca × mục tiêu mỗi giờ (làm tròn), thực tế, % đạt, còn thiếu, tiến độ theo giờ,</t>
        </is>
      </c>
    </row>
    <row r="18">
      <c r="B18" s="2" t="inlineStr">
        <is>
          <t>và THIẾU HÔM TRƯỚC = số còn thiếu của ngày làm việc gần nhất trước đó của cùng chuyền.</t>
        </is>
      </c>
    </row>
    <row r="19">
      <c r="B19" s="2" t="inlineStr">
        <is>
          <t>Cột KIỂM TRA phải là OK. Nếu báo TRÙNG / THIẾU MÃ CA / CHƯA CÓ MỤC TIÊU THÁNG thì sửa dòng đó.</t>
        </is>
      </c>
    </row>
    <row r="20">
      <c r="B20" s="2" t="inlineStr"/>
    </row>
    <row r="21">
      <c r="B21" s="3" t="inlineStr">
        <is>
          <t>4. Màn hình TV – sheet HIEN_THI</t>
        </is>
      </c>
    </row>
    <row r="22">
      <c r="B22" s="2" t="inlineStr">
        <is>
          <t>Toàn bộ là công thức, KHÔNG nhập tay. App TV chỉ đọc sheet này: mỗi dòng của bảng là một chuyền, dòng TỔNG CỘNG nằm ngay dưới bảng (cách 1 dòng).</t>
        </is>
      </c>
    </row>
    <row r="23">
      <c r="B23" s="2" t="inlineStr">
        <is>
          <t>Mặc định hiển thị NGÀY MỚI NHẤT có trong NHAP_LIEU. Muốn xem ngày khác thì gõ ngày vào ô J1; phải xóa J1 thì bảng mới tự theo ngày mới.</t>
        </is>
      </c>
    </row>
    <row r="24">
      <c r="B24" s="2" t="inlineStr">
        <is>
          <t>Không đổi tên sheet, không chèn/xóa cột ở HIEN_THI, vì app đọc theo vị trí cột.</t>
        </is>
      </c>
    </row>
    <row r="25">
      <c r="B25" s="2" t="inlineStr"/>
    </row>
    <row r="26">
      <c r="B26" s="3" t="inlineStr">
        <is>
          <t>5. Lịch làm việc, lý do, công nhân, hàng lỗi (mới ở V19)</t>
        </is>
      </c>
    </row>
    <row r="27">
      <c r="B27" s="2" t="inlineStr">
        <is>
          <t>LICH_LAM_VIEC: Chủ nhật mặc định nghỉ. Ngày thường được nghỉ thì thêm dòng LOẠI = Nghỉ; Chủ nhật đi làm thì LOẠI = Làm bù.</t>
        </is>
      </c>
    </row>
    <row r="28">
      <c r="B28" s="2" t="inlineStr">
        <is>
          <t>Từ lịch này file tính số ngày làm việc còn lại và CẦN LÀM MỖI NGÀY ĐỂ KỊP THÁNG = (mục tiêu tháng − lũy kế trước ngày đang xem) / ngày còn lại.</t>
        </is>
      </c>
    </row>
    <row r="29">
      <c r="B29" s="2" t="inlineStr">
        <is>
          <t>NHAP_LIEU có thêm SỐ CÔNG NHÂN, LÝ DO KHÔNG ĐẠT (chọn từ DANH_SACH_LY_DO), PHÚT DỪNG MÁY. Ngày không đạt mà chưa ghi lý do thì KIỂM TRA sẽ báo.</t>
        </is>
      </c>
    </row>
    <row r="30">
      <c r="B30" s="2" t="inlineStr">
        <is>
          <t>MUC_TIEU_THANG có thêm THIẾU THÁNG TRƯỚC (chỉ hiển thị, không cộng vào mục tiêu), số ngày làm việc và bình quân cần mỗi ngày.</t>
        </is>
      </c>
    </row>
    <row r="31">
      <c r="B31" s="2" t="inlineStr">
        <is>
          <t>BAO_CAO_THANG: chọn tháng ở F2 (trống = tháng mới nhất). Có sản lượng và % đạt theo chuyền × ngày, tổng hợp lý do, năng suất, hàng lỗi và biểu đồ.</t>
        </is>
      </c>
    </row>
    <row r="32">
      <c r="B32" s="2" t="inlineStr"/>
    </row>
    <row r="33">
      <c r="B33" s="3" t="inlineStr">
        <is>
          <t>6. Hàng lỗi kèm ảnh – sheet HANG_LOI (mới ở V20)</t>
        </is>
      </c>
    </row>
    <row r="34">
      <c r="B34" s="2" t="inlineStr">
        <is>
          <t>Mỗi lần QC phát hiện hàng lỗi, thêm 1 dòng: NGÀY, GIỜ, CHUYỀN, LOẠI LỖI (chọn từ DANH_SACH_LOAI_LOI), SỐ LƯỢNG, TÊN FILE ẢNH.</t>
        </is>
      </c>
    </row>
    <row r="35">
      <c r="B35" s="2" t="inlineStr">
        <is>
          <t>Chép ảnh vào thư mục images\hang_loi nằm cạnh file Excel này, rồi gõ đúng tên file (ví dụ rach_chuyen2.jpg) vào cột TÊN FILE ẢNH.</t>
        </is>
      </c>
    </row>
    <row r="36">
      <c r="B36" s="2" t="inlineStr">
        <is>
          <t>MÃ SẢN PHẨM tự lấy theo NHAP_LIEU. SỐ LỖI ở NHAP_LIEU và HIEN_THI tự cộng từ sheet này, không gõ tay nữa.</t>
        </is>
      </c>
    </row>
    <row r="37">
      <c r="B37" s="2" t="inlineStr">
        <is>
          <t>Cột HIỆN TRÊN TV = CÓ là dòng của ngày đang hiển thị: TV chỉ chiếu ảnh của các dòng này. Cột KIỂM TRA phải là OK.</t>
        </is>
      </c>
    </row>
    <row r="38">
      <c r="B38" s="2" t="inlineStr"/>
    </row>
    <row r="39">
      <c r="B39" s="3" t="inlineStr">
        <is>
          <t>7. Dung lượng</t>
        </is>
      </c>
    </row>
    <row r="40">
      <c r="B40" s="2" t="inlineStr">
        <is>
          <t>Công thức tổng hợp tính tới dòng 10.004 của NHAP_LIEU (khoảng 4–5 năm với 6 chuyền).</t>
        </is>
      </c>
    </row>
    <row r="44">
      <c r="B44" s="4" t="inlineStr">
        <is>
          <t>Tiêu đề cột nhập tay</t>
        </is>
      </c>
    </row>
    <row r="45">
      <c r="B45" s="5" t="inlineStr">
        <is>
          <t>Tiêu đề cột công thức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28" customHeight="1">
      <c r="A1" s="6" t="inlineStr">
        <is>
          <t>工作時間設定 / CẤU HÌNH CA</t>
        </is>
      </c>
    </row>
    <row r="2" ht="28" customHeight="1">
      <c r="A2" s="7" t="inlineStr">
        <is>
          <t>班次代碼</t>
        </is>
      </c>
      <c r="B2" s="7" t="inlineStr">
        <is>
          <t>班次名稱</t>
        </is>
      </c>
      <c r="C2" s="7" t="inlineStr">
        <is>
          <t>總工時</t>
        </is>
      </c>
      <c r="D2" s="7" t="inlineStr">
        <is>
          <t>第一時段開始</t>
        </is>
      </c>
      <c r="E2" s="7" t="inlineStr">
        <is>
          <t>第一時段結束</t>
        </is>
      </c>
      <c r="F2" s="7" t="inlineStr">
        <is>
          <t>第二時段開始</t>
        </is>
      </c>
      <c r="G2" s="7" t="inlineStr">
        <is>
          <t>第二時段結束</t>
        </is>
      </c>
      <c r="H2" s="7" t="inlineStr">
        <is>
          <t>第三時段開始</t>
        </is>
      </c>
      <c r="I2" s="7" t="inlineStr">
        <is>
          <t>第三時段結束</t>
        </is>
      </c>
      <c r="J2" s="7" t="inlineStr">
        <is>
          <t>啟用狀態</t>
        </is>
      </c>
    </row>
    <row r="3" ht="38" customHeight="1">
      <c r="A3" s="8" t="inlineStr">
        <is>
          <t>MÃ CA</t>
        </is>
      </c>
      <c r="B3" s="8" t="inlineStr">
        <is>
          <t>TÊN CA</t>
        </is>
      </c>
      <c r="C3" s="9" t="inlineStr">
        <is>
          <t>TỔNG GIỜ
(tự tính)</t>
        </is>
      </c>
      <c r="D3" s="8" t="inlineStr">
        <is>
          <t>ĐỢT 1 BẮT ĐẦU</t>
        </is>
      </c>
      <c r="E3" s="8" t="inlineStr">
        <is>
          <t>ĐỢT 1 KẾT THÚC</t>
        </is>
      </c>
      <c r="F3" s="8" t="inlineStr">
        <is>
          <t>ĐỢT 2 BẮT ĐẦU</t>
        </is>
      </c>
      <c r="G3" s="8" t="inlineStr">
        <is>
          <t>ĐỢT 2 KẾT THÚC</t>
        </is>
      </c>
      <c r="H3" s="8" t="inlineStr">
        <is>
          <t>ĐỢT 3 BẮT ĐẦU</t>
        </is>
      </c>
      <c r="I3" s="8" t="inlineStr">
        <is>
          <t>ĐỢT 3 KẾT THÚC</t>
        </is>
      </c>
      <c r="J3" s="8" t="inlineStr">
        <is>
          <t>TRẠNG THÁI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5</t>
        </is>
      </c>
      <c r="F4" s="10" t="inlineStr">
        <is>
          <t>6</t>
        </is>
      </c>
      <c r="G4" s="10" t="inlineStr">
        <is>
          <t>7</t>
        </is>
      </c>
      <c r="H4" s="10" t="inlineStr">
        <is>
          <t>8</t>
        </is>
      </c>
      <c r="I4" s="10" t="inlineStr">
        <is>
          <t>9</t>
        </is>
      </c>
      <c r="J4" s="10" t="inlineStr">
        <is>
          <t>10</t>
        </is>
      </c>
    </row>
    <row r="5">
      <c r="A5" s="11" t="inlineStr">
        <is>
          <t>8H</t>
        </is>
      </c>
      <c r="B5" s="12" t="inlineStr">
        <is>
          <t>8 giờ</t>
        </is>
      </c>
      <c r="C5" s="13">
        <f>IF(A5="","",ROUND(((E5-D5)+(G5-F5)+(I5-H5))*24,2))</f>
        <v/>
      </c>
      <c r="D5" s="14" t="n">
        <v>0.3125</v>
      </c>
      <c r="E5" s="14" t="n">
        <v>0.4791666666666667</v>
      </c>
      <c r="F5" s="14" t="n">
        <v>0.5208333333333334</v>
      </c>
      <c r="G5" s="14" t="n">
        <v>0.6875</v>
      </c>
      <c r="H5" s="14" t="n"/>
      <c r="I5" s="14" t="n"/>
      <c r="J5" s="12" t="inlineStr">
        <is>
          <t>Đang sử dụng</t>
        </is>
      </c>
    </row>
    <row r="6">
      <c r="A6" s="11" t="inlineStr">
        <is>
          <t>9H</t>
        </is>
      </c>
      <c r="B6" s="12" t="inlineStr">
        <is>
          <t>9 giờ</t>
        </is>
      </c>
      <c r="C6" s="13">
        <f>IF(A6="","",ROUND(((E6-D6)+(G6-F6)+(I6-H6))*24,2))</f>
        <v/>
      </c>
      <c r="D6" s="14" t="n">
        <v>0.3125</v>
      </c>
      <c r="E6" s="14" t="n">
        <v>0.4791666666666667</v>
      </c>
      <c r="F6" s="14" t="n">
        <v>0.5208333333333334</v>
      </c>
      <c r="G6" s="14" t="n">
        <v>0.7291666666666666</v>
      </c>
      <c r="H6" s="14" t="n"/>
      <c r="I6" s="14" t="n"/>
      <c r="J6" s="12" t="inlineStr">
        <is>
          <t>Đang sử dụng</t>
        </is>
      </c>
    </row>
    <row r="7">
      <c r="A7" s="11" t="inlineStr">
        <is>
          <t>10H</t>
        </is>
      </c>
      <c r="B7" s="12" t="inlineStr">
        <is>
          <t>10 giờ</t>
        </is>
      </c>
      <c r="C7" s="13">
        <f>IF(A7="","",ROUND(((E7-D7)+(G7-F7)+(I7-H7))*24,2))</f>
        <v/>
      </c>
      <c r="D7" s="14" t="n">
        <v>0.3125</v>
      </c>
      <c r="E7" s="14" t="n">
        <v>0.4791666666666667</v>
      </c>
      <c r="F7" s="14" t="n">
        <v>0.5208333333333334</v>
      </c>
      <c r="G7" s="14" t="n">
        <v>0.7708333333333334</v>
      </c>
      <c r="H7" s="14" t="n"/>
      <c r="I7" s="14" t="n"/>
      <c r="J7" s="12" t="inlineStr">
        <is>
          <t>Đang sử dụng</t>
        </is>
      </c>
    </row>
    <row r="8">
      <c r="A8" s="11" t="inlineStr">
        <is>
          <t>11H30</t>
        </is>
      </c>
      <c r="B8" s="12" t="inlineStr">
        <is>
          <t>11 giờ 30 phút</t>
        </is>
      </c>
      <c r="C8" s="13">
        <f>IF(A8="","",ROUND(((E8-D8)+(G8-F8)+(I8-H8))*24,2))</f>
        <v/>
      </c>
      <c r="D8" s="14" t="n">
        <v>0.3125</v>
      </c>
      <c r="E8" s="14" t="n">
        <v>0.4791666666666667</v>
      </c>
      <c r="F8" s="14" t="n">
        <v>0.5208333333333334</v>
      </c>
      <c r="G8" s="14" t="n">
        <v>0.6875</v>
      </c>
      <c r="H8" s="14" t="n">
        <v>0.7083333333333334</v>
      </c>
      <c r="I8" s="14" t="n">
        <v>0.8541666666666666</v>
      </c>
      <c r="J8" s="12" t="inlineStr">
        <is>
          <t>Đang sử dụng</t>
        </is>
      </c>
    </row>
  </sheetData>
  <mergeCells count="1">
    <mergeCell ref="A1:H1"/>
  </mergeCells>
  <dataValidations count="1">
    <dataValidation sqref="J5:J8" showDropDown="0" showInputMessage="0" showErrorMessage="1" allowBlank="1" errorTitle="Sai dữ liệu" error="Chọn giá trị trong danh sách." type="list">
      <formula1>"Đang sử dụng,Ngừng sử dụng"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8" customWidth="1" min="4" max="4"/>
  </cols>
  <sheetData>
    <row r="1" ht="28" customHeight="1">
      <c r="A1" s="6" t="inlineStr">
        <is>
          <t>產線清單 / DANH SÁCH CHUYỀN</t>
        </is>
      </c>
    </row>
    <row r="2" ht="28" customHeight="1">
      <c r="A2" s="7" t="inlineStr">
        <is>
          <t>產線代碼</t>
        </is>
      </c>
      <c r="B2" s="7" t="inlineStr">
        <is>
          <t>產線名稱</t>
        </is>
      </c>
      <c r="C2" s="7" t="inlineStr">
        <is>
          <t>線長姓名</t>
        </is>
      </c>
      <c r="D2" s="7" t="inlineStr">
        <is>
          <t>啟用狀態</t>
        </is>
      </c>
    </row>
    <row r="3" ht="38" customHeight="1">
      <c r="A3" s="8" t="inlineStr">
        <is>
          <t>MÃ CHUYỀN</t>
        </is>
      </c>
      <c r="B3" s="8" t="inlineStr">
        <is>
          <t>TÊN CHUYỀN</t>
        </is>
      </c>
      <c r="C3" s="8" t="inlineStr">
        <is>
          <t>TÊN TRƯỞNG CHUYỀN</t>
        </is>
      </c>
      <c r="D3" s="8" t="inlineStr">
        <is>
          <t>TRẠNG THÁI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</row>
    <row r="5">
      <c r="A5" s="11" t="inlineStr">
        <is>
          <t>CH01</t>
        </is>
      </c>
      <c r="B5" s="12" t="inlineStr">
        <is>
          <t>Chuyền 1</t>
        </is>
      </c>
      <c r="C5" s="12" t="n"/>
      <c r="D5" s="12" t="inlineStr">
        <is>
          <t>Đang sử dụng</t>
        </is>
      </c>
    </row>
    <row r="6">
      <c r="A6" s="11" t="inlineStr">
        <is>
          <t>CH02</t>
        </is>
      </c>
      <c r="B6" s="12" t="inlineStr">
        <is>
          <t>Chuyền 2</t>
        </is>
      </c>
      <c r="C6" s="12" t="n"/>
      <c r="D6" s="12" t="inlineStr">
        <is>
          <t>Đang sử dụng</t>
        </is>
      </c>
    </row>
    <row r="7">
      <c r="A7" s="11" t="inlineStr">
        <is>
          <t>CH03</t>
        </is>
      </c>
      <c r="B7" s="12" t="inlineStr">
        <is>
          <t>Chuyền 3</t>
        </is>
      </c>
      <c r="C7" s="12" t="n"/>
      <c r="D7" s="12" t="inlineStr">
        <is>
          <t>Đang sử dụng</t>
        </is>
      </c>
    </row>
    <row r="8">
      <c r="A8" s="11" t="inlineStr">
        <is>
          <t>CH04</t>
        </is>
      </c>
      <c r="B8" s="12" t="inlineStr">
        <is>
          <t>Chuyền 4</t>
        </is>
      </c>
      <c r="C8" s="12" t="n"/>
      <c r="D8" s="12" t="inlineStr">
        <is>
          <t>Đang sử dụng</t>
        </is>
      </c>
    </row>
    <row r="9">
      <c r="A9" s="11" t="inlineStr">
        <is>
          <t>CH05</t>
        </is>
      </c>
      <c r="B9" s="12" t="inlineStr">
        <is>
          <t>Chuyền 5</t>
        </is>
      </c>
      <c r="C9" s="12" t="n"/>
      <c r="D9" s="12" t="inlineStr">
        <is>
          <t>Đang sử dụng</t>
        </is>
      </c>
    </row>
    <row r="10">
      <c r="A10" s="11" t="inlineStr">
        <is>
          <t>CH06</t>
        </is>
      </c>
      <c r="B10" s="12" t="inlineStr">
        <is>
          <t>Chuyền 6</t>
        </is>
      </c>
      <c r="C10" s="12" t="n"/>
      <c r="D10" s="12" t="inlineStr">
        <is>
          <t>Đang sử dụng</t>
        </is>
      </c>
    </row>
  </sheetData>
  <mergeCells count="1">
    <mergeCell ref="A1:D1"/>
  </mergeCells>
  <dataValidations count="1">
    <dataValidation sqref="D5:D10" showDropDown="0" showInputMessage="0" showErrorMessage="1" allowBlank="1" errorTitle="Sai dữ liệu" error="Chọn giá trị trong danh sách." type="list">
      <formula1>"Đang sử dụng,Ngừng sử dụng"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8" customWidth="1" min="4" max="4"/>
  </cols>
  <sheetData>
    <row r="1" ht="28" customHeight="1">
      <c r="A1" s="6" t="inlineStr">
        <is>
          <t>產品清單 / DANH SÁCH SẢN PHẨM</t>
        </is>
      </c>
    </row>
    <row r="2" ht="28" customHeight="1">
      <c r="A2" s="7" t="inlineStr">
        <is>
          <t>产品代码</t>
        </is>
      </c>
      <c r="B2" s="7" t="inlineStr">
        <is>
          <t>产品名称</t>
        </is>
      </c>
      <c r="C2" s="7" t="inlineStr">
        <is>
          <t>備註</t>
        </is>
      </c>
      <c r="D2" s="7" t="inlineStr">
        <is>
          <t>啟用狀態</t>
        </is>
      </c>
    </row>
    <row r="3" ht="38" customHeight="1">
      <c r="A3" s="8" t="inlineStr">
        <is>
          <t>MÃ SẢN PHẨM</t>
        </is>
      </c>
      <c r="B3" s="8" t="inlineStr">
        <is>
          <t>TÊN SẢN PHẨM</t>
        </is>
      </c>
      <c r="C3" s="8" t="inlineStr">
        <is>
          <t>GHI CHÚ</t>
        </is>
      </c>
      <c r="D3" s="8" t="inlineStr">
        <is>
          <t>TRẠNG THÁI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</row>
    <row r="5">
      <c r="A5" s="11" t="inlineStr">
        <is>
          <t>ĐAI LƯNG</t>
        </is>
      </c>
      <c r="B5" s="12" t="n"/>
      <c r="C5" s="12" t="n"/>
      <c r="D5" s="12" t="inlineStr">
        <is>
          <t>Đang sử dụng</t>
        </is>
      </c>
    </row>
    <row r="6">
      <c r="A6" s="11" t="inlineStr">
        <is>
          <t>BAO TAY XANH</t>
        </is>
      </c>
      <c r="B6" s="12" t="n"/>
      <c r="C6" s="12" t="n"/>
      <c r="D6" s="12" t="inlineStr">
        <is>
          <t>Đang sử dụng</t>
        </is>
      </c>
    </row>
    <row r="7">
      <c r="A7" s="11" t="inlineStr">
        <is>
          <t>883</t>
        </is>
      </c>
      <c r="B7" s="12" t="n"/>
      <c r="C7" s="12" t="n"/>
      <c r="D7" s="12" t="inlineStr">
        <is>
          <t>Đang sử dụng</t>
        </is>
      </c>
    </row>
    <row r="8">
      <c r="A8" s="11" t="inlineStr">
        <is>
          <t>567</t>
        </is>
      </c>
      <c r="B8" s="12" t="n"/>
      <c r="C8" s="12" t="inlineStr">
        <is>
          <t>Test</t>
        </is>
      </c>
      <c r="D8" s="12" t="inlineStr">
        <is>
          <t>Đang sử dụng</t>
        </is>
      </c>
    </row>
    <row r="9">
      <c r="A9" s="11" t="inlineStr">
        <is>
          <t>MÃ 9H</t>
        </is>
      </c>
      <c r="B9" s="12" t="n"/>
      <c r="C9" s="12" t="inlineStr">
        <is>
          <t>Mã thử từ V17</t>
        </is>
      </c>
      <c r="D9" s="12" t="inlineStr">
        <is>
          <t>Đang sử dụng</t>
        </is>
      </c>
    </row>
  </sheetData>
  <mergeCells count="1">
    <mergeCell ref="A1:D1"/>
  </mergeCells>
  <dataValidations count="1">
    <dataValidation sqref="D5:D9" showDropDown="0" showInputMessage="0" showErrorMessage="1" allowBlank="1" errorTitle="Sai dữ liệu" error="Chọn giá trị trong danh sách." type="list">
      <formula1>"Đang sử dụng,Ngừng sử dụng"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8" customHeight="1">
      <c r="A1" s="6" t="inlineStr">
        <is>
          <t>未達原因清單 / DANH SÁCH LÝ DO KHÔNG ĐẠT</t>
        </is>
      </c>
    </row>
    <row r="2" ht="28" customHeight="1">
      <c r="A2" s="7" t="inlineStr">
        <is>
          <t>原因</t>
        </is>
      </c>
      <c r="B2" s="7" t="inlineStr">
        <is>
          <t>備註</t>
        </is>
      </c>
    </row>
    <row r="3" ht="38" customHeight="1">
      <c r="A3" s="8" t="inlineStr">
        <is>
          <t>LÝ DO KHÔNG ĐẠT</t>
        </is>
      </c>
      <c r="B3" s="8" t="inlineStr">
        <is>
          <t>GHI CHÚ</t>
        </is>
      </c>
    </row>
    <row r="4">
      <c r="A4" s="10" t="inlineStr">
        <is>
          <t>1</t>
        </is>
      </c>
      <c r="B4" s="10" t="inlineStr">
        <is>
          <t>2</t>
        </is>
      </c>
    </row>
    <row r="5">
      <c r="A5" s="12" t="inlineStr">
        <is>
          <t>Thiếu vật tư</t>
        </is>
      </c>
      <c r="B5" s="12" t="n"/>
    </row>
    <row r="6">
      <c r="A6" s="12" t="inlineStr">
        <is>
          <t>Hư máy</t>
        </is>
      </c>
      <c r="B6" s="12" t="n"/>
    </row>
    <row r="7">
      <c r="A7" s="12" t="inlineStr">
        <is>
          <t>Thiếu người</t>
        </is>
      </c>
      <c r="B7" s="12" t="n"/>
    </row>
    <row r="8">
      <c r="A8" s="12" t="inlineStr">
        <is>
          <t>Chờ hàng / chờ khuôn</t>
        </is>
      </c>
      <c r="B8" s="12" t="n"/>
    </row>
    <row r="9">
      <c r="A9" s="12" t="inlineStr">
        <is>
          <t>Sửa hàng lỗi</t>
        </is>
      </c>
      <c r="B9" s="12" t="n"/>
    </row>
    <row r="10">
      <c r="A10" s="12" t="inlineStr">
        <is>
          <t>Khác</t>
        </is>
      </c>
      <c r="B10" s="12" t="n"/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 ht="28" customHeight="1">
      <c r="A1" s="6" t="inlineStr">
        <is>
          <t>不良類型清單 / DANH SÁCH LOẠI LỖI</t>
        </is>
      </c>
    </row>
    <row r="2" ht="28" customHeight="1">
      <c r="A2" s="7" t="inlineStr">
        <is>
          <t>不良類型</t>
        </is>
      </c>
      <c r="B2" s="7" t="inlineStr">
        <is>
          <t>備註</t>
        </is>
      </c>
    </row>
    <row r="3" ht="38" customHeight="1">
      <c r="A3" s="8" t="inlineStr">
        <is>
          <t>LOẠI LỖI</t>
        </is>
      </c>
      <c r="B3" s="8" t="inlineStr">
        <is>
          <t>GHI CHÚ</t>
        </is>
      </c>
    </row>
    <row r="4">
      <c r="A4" s="10" t="inlineStr">
        <is>
          <t>1</t>
        </is>
      </c>
      <c r="B4" s="10" t="inlineStr">
        <is>
          <t>2</t>
        </is>
      </c>
    </row>
    <row r="5">
      <c r="A5" s="12" t="inlineStr">
        <is>
          <t>Rách đường may</t>
        </is>
      </c>
      <c r="B5" s="12" t="n"/>
    </row>
    <row r="6">
      <c r="A6" s="12" t="inlineStr">
        <is>
          <t>Bung chỉ</t>
        </is>
      </c>
      <c r="B6" s="12" t="n"/>
    </row>
    <row r="7">
      <c r="A7" s="12" t="inlineStr">
        <is>
          <t>Lem màu</t>
        </is>
      </c>
      <c r="B7" s="12" t="n"/>
    </row>
    <row r="8">
      <c r="A8" s="12" t="inlineStr">
        <is>
          <t>Sai kích thước</t>
        </is>
      </c>
      <c r="B8" s="12" t="n"/>
    </row>
    <row r="9">
      <c r="A9" s="12" t="inlineStr">
        <is>
          <t>Khóa / phụ kiện lệch</t>
        </is>
      </c>
      <c r="B9" s="12" t="n"/>
    </row>
    <row r="10">
      <c r="A10" s="12" t="inlineStr">
        <is>
          <t>Khác</t>
        </is>
      </c>
      <c r="B10" s="12" t="n"/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0" customWidth="1" min="4" max="4"/>
  </cols>
  <sheetData>
    <row r="1" ht="28" customHeight="1">
      <c r="A1" s="6" t="inlineStr">
        <is>
          <t>工作日曆 / LỊCH LÀM VIỆC (Chủ nhật mặc định nghỉ)</t>
        </is>
      </c>
    </row>
    <row r="2" ht="28" customHeight="1">
      <c r="A2" s="7" t="inlineStr">
        <is>
          <t>日期</t>
        </is>
      </c>
      <c r="B2" s="7" t="inlineStr">
        <is>
          <t>類型</t>
        </is>
      </c>
      <c r="C2" s="7" t="inlineStr">
        <is>
          <t>星期</t>
        </is>
      </c>
      <c r="D2" s="7" t="inlineStr">
        <is>
          <t>備註</t>
        </is>
      </c>
    </row>
    <row r="3" ht="38" customHeight="1">
      <c r="A3" s="8" t="inlineStr">
        <is>
          <t>NGÀY</t>
        </is>
      </c>
      <c r="B3" s="8" t="inlineStr">
        <is>
          <t>LOẠI</t>
        </is>
      </c>
      <c r="C3" s="9" t="inlineStr">
        <is>
          <t>THỨ</t>
        </is>
      </c>
      <c r="D3" s="8" t="inlineStr">
        <is>
          <t>GHI CHÚ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</row>
    <row r="5">
      <c r="A5" s="15" t="n">
        <v>46388</v>
      </c>
      <c r="B5" s="12" t="inlineStr">
        <is>
          <t>Nghỉ</t>
        </is>
      </c>
      <c r="C5" s="16">
        <f>IF(A5="","",CHOOSE(WEEKDAY(A5),"CN","T2","T3","T4","T5","T6","T7"))</f>
        <v/>
      </c>
      <c r="D5" s="12" t="inlineStr">
        <is>
          <t>Tết Dương lịch (ví dụ)</t>
        </is>
      </c>
    </row>
  </sheetData>
  <mergeCells count="1">
    <mergeCell ref="A1:D1"/>
  </mergeCells>
  <dataValidations count="1">
    <dataValidation sqref="B5" showDropDown="0" showInputMessage="0" showErrorMessage="1" allowBlank="1" errorTitle="Sai dữ liệu" error="Chọn Nghỉ (ngày thường được nghỉ) hoặc Làm bù (Chủ nhật đi làm)." type="list">
      <formula1>"Nghỉ,Làm bù"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2" customWidth="1" min="5" max="5"/>
    <col width="9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3" customWidth="1" min="20" max="20"/>
    <col width="11" customWidth="1" min="21" max="21"/>
    <col width="11" customWidth="1" min="22" max="22"/>
    <col width="11" customWidth="1" min="23" max="23"/>
    <col width="9" customWidth="1" min="24" max="24"/>
    <col width="13" customWidth="1" min="25" max="25"/>
    <col width="11" customWidth="1" min="26" max="26"/>
    <col width="12" customWidth="1" min="27" max="27"/>
    <col width="12" customWidth="1" min="28" max="28"/>
    <col width="13" customWidth="1" min="29" max="29"/>
    <col width="22" customWidth="1" min="30" max="30"/>
    <col width="22" customWidth="1" min="31" max="31"/>
    <col hidden="1" width="16" customWidth="1" min="32" max="32"/>
    <col width="10" customWidth="1" min="33" max="33"/>
    <col width="10" customWidth="1" min="34" max="34"/>
    <col width="22" customWidth="1" min="35" max="35"/>
    <col width="10" customWidth="1" min="36" max="36"/>
    <col width="11" customWidth="1" min="37" max="37"/>
    <col width="10" customWidth="1" min="38" max="38"/>
  </cols>
  <sheetData>
    <row r="1" ht="28" customHeight="1">
      <c r="A1" s="6" t="inlineStr">
        <is>
          <t>生產計劃與每小時產量 / NHẬP LIỆU HẰNG NGÀY (KẾ HOẠCH + SẢN LƯỢNG THEO GIỜ)</t>
        </is>
      </c>
    </row>
    <row r="2" ht="28" customHeight="1">
      <c r="A2" s="7" t="inlineStr">
        <is>
          <t>日期</t>
        </is>
      </c>
      <c r="B2" s="7" t="inlineStr">
        <is>
          <t>產線</t>
        </is>
      </c>
      <c r="C2" s="7" t="inlineStr">
        <is>
          <t>产品代码</t>
        </is>
      </c>
      <c r="D2" s="7" t="inlineStr">
        <is>
          <t>工作時間</t>
        </is>
      </c>
      <c r="E2" s="7" t="inlineStr">
        <is>
          <t>每小时目标产量PCS</t>
        </is>
      </c>
      <c r="F2" s="7" t="inlineStr">
        <is>
          <t>總工時</t>
        </is>
      </c>
      <c r="G2" s="7" t="inlineStr">
        <is>
          <t>每日目标产量PCS</t>
        </is>
      </c>
      <c r="H2" s="7" t="inlineStr">
        <is>
          <t>第1小時</t>
        </is>
      </c>
      <c r="I2" s="7" t="inlineStr">
        <is>
          <t>第2小時</t>
        </is>
      </c>
      <c r="J2" s="7" t="inlineStr">
        <is>
          <t>第3小時</t>
        </is>
      </c>
      <c r="K2" s="7" t="inlineStr">
        <is>
          <t>第4小時</t>
        </is>
      </c>
      <c r="L2" s="7" t="inlineStr">
        <is>
          <t>第5小時</t>
        </is>
      </c>
      <c r="M2" s="7" t="inlineStr">
        <is>
          <t>第6小時</t>
        </is>
      </c>
      <c r="N2" s="7" t="inlineStr">
        <is>
          <t>第7小時</t>
        </is>
      </c>
      <c r="O2" s="7" t="inlineStr">
        <is>
          <t>第8小時</t>
        </is>
      </c>
      <c r="P2" s="7" t="inlineStr">
        <is>
          <t>第9小時</t>
        </is>
      </c>
      <c r="Q2" s="7" t="inlineStr">
        <is>
          <t>第10小時</t>
        </is>
      </c>
      <c r="R2" s="7" t="inlineStr">
        <is>
          <t>第11小時</t>
        </is>
      </c>
      <c r="S2" s="7" t="inlineStr">
        <is>
          <t>第12小時</t>
        </is>
      </c>
      <c r="T2" s="7" t="inlineStr">
        <is>
          <t>每日实际产量PCS</t>
        </is>
      </c>
      <c r="U2" s="7" t="inlineStr">
        <is>
          <t>当日达成率%</t>
        </is>
      </c>
      <c r="V2" s="7" t="inlineStr">
        <is>
          <t>差異PCS</t>
        </is>
      </c>
      <c r="W2" s="7" t="inlineStr">
        <is>
          <t>剩餘PCS</t>
        </is>
      </c>
      <c r="X2" s="7" t="inlineStr">
        <is>
          <t>已輸入小時數</t>
        </is>
      </c>
      <c r="Y2" s="7" t="inlineStr">
        <is>
          <t>累計目標PCS</t>
        </is>
      </c>
      <c r="Z2" s="7" t="inlineStr">
        <is>
          <t>進度達成率%</t>
        </is>
      </c>
      <c r="AA2" s="7" t="inlineStr">
        <is>
          <t>前一工作日</t>
        </is>
      </c>
      <c r="AB2" s="7" t="inlineStr">
        <is>
          <t>前一日欠數PCS</t>
        </is>
      </c>
      <c r="AC2" s="7" t="inlineStr">
        <is>
          <t>狀態</t>
        </is>
      </c>
      <c r="AD2" s="7" t="inlineStr">
        <is>
          <t>備註</t>
        </is>
      </c>
      <c r="AE2" s="7" t="inlineStr">
        <is>
          <t>檢查</t>
        </is>
      </c>
      <c r="AF2" s="7" t="inlineStr">
        <is>
          <t>索引</t>
        </is>
      </c>
      <c r="AG2" s="7" t="inlineStr">
        <is>
          <t>工人數</t>
        </is>
      </c>
      <c r="AH2" s="7" t="inlineStr">
        <is>
          <t>不良數PCS</t>
        </is>
      </c>
      <c r="AI2" s="7" t="inlineStr">
        <is>
          <t>未達原因</t>
        </is>
      </c>
      <c r="AJ2" s="7" t="inlineStr">
        <is>
          <t>停機分鐘</t>
        </is>
      </c>
      <c r="AK2" s="7" t="inlineStr">
        <is>
          <t>人均每小時產量</t>
        </is>
      </c>
      <c r="AL2" s="7" t="inlineStr">
        <is>
          <t>不良率%</t>
        </is>
      </c>
    </row>
    <row r="3" ht="38" customHeight="1">
      <c r="A3" s="8" t="inlineStr">
        <is>
          <t>NGÀY</t>
        </is>
      </c>
      <c r="B3" s="8" t="inlineStr">
        <is>
          <t>CHUYỀN</t>
        </is>
      </c>
      <c r="C3" s="8" t="inlineStr">
        <is>
          <t>MÃ SẢN PHẨM</t>
        </is>
      </c>
      <c r="D3" s="8" t="inlineStr">
        <is>
          <t>MÃ CA</t>
        </is>
      </c>
      <c r="E3" s="8" t="inlineStr">
        <is>
          <t>MỤC TIÊU MỖI GIỜ</t>
        </is>
      </c>
      <c r="F3" s="9" t="inlineStr">
        <is>
          <t>GIỜ CA</t>
        </is>
      </c>
      <c r="G3" s="9" t="inlineStr">
        <is>
          <t>MỤC TIÊU TRONG NGÀY</t>
        </is>
      </c>
      <c r="H3" s="8" t="inlineStr">
        <is>
          <t>GIỜ 1</t>
        </is>
      </c>
      <c r="I3" s="8" t="inlineStr">
        <is>
          <t>GIỜ 2</t>
        </is>
      </c>
      <c r="J3" s="8" t="inlineStr">
        <is>
          <t>GIỜ 3</t>
        </is>
      </c>
      <c r="K3" s="8" t="inlineStr">
        <is>
          <t>GIỜ 4</t>
        </is>
      </c>
      <c r="L3" s="8" t="inlineStr">
        <is>
          <t>GIỜ 5</t>
        </is>
      </c>
      <c r="M3" s="8" t="inlineStr">
        <is>
          <t>GIỜ 6</t>
        </is>
      </c>
      <c r="N3" s="8" t="inlineStr">
        <is>
          <t>GIỜ 7</t>
        </is>
      </c>
      <c r="O3" s="8" t="inlineStr">
        <is>
          <t>GIỜ 8</t>
        </is>
      </c>
      <c r="P3" s="8" t="inlineStr">
        <is>
          <t>GIỜ 9</t>
        </is>
      </c>
      <c r="Q3" s="8" t="inlineStr">
        <is>
          <t>GIỜ 10</t>
        </is>
      </c>
      <c r="R3" s="8" t="inlineStr">
        <is>
          <t>GIỜ 11</t>
        </is>
      </c>
      <c r="S3" s="8" t="inlineStr">
        <is>
          <t>GIỜ 12</t>
        </is>
      </c>
      <c r="T3" s="9" t="inlineStr">
        <is>
          <t>THỰC TẾ TRONG NGÀY</t>
        </is>
      </c>
      <c r="U3" s="9" t="inlineStr">
        <is>
          <t>TỶ LỆ ĐẠT TRONG NGÀY</t>
        </is>
      </c>
      <c r="V3" s="9" t="inlineStr">
        <is>
          <t>CHÊNH LỆCH</t>
        </is>
      </c>
      <c r="W3" s="9" t="inlineStr">
        <is>
          <t>CÒN THIẾU</t>
        </is>
      </c>
      <c r="X3" s="9" t="inlineStr">
        <is>
          <t>SỐ GIỜ ĐÃ NHẬP</t>
        </is>
      </c>
      <c r="Y3" s="9" t="inlineStr">
        <is>
          <t>MỤC TIÊU ĐẾN GIỜ ĐÃ NHẬP</t>
        </is>
      </c>
      <c r="Z3" s="9" t="inlineStr">
        <is>
          <t>TIẾN ĐỘ THEO GIỜ</t>
        </is>
      </c>
      <c r="AA3" s="9" t="inlineStr">
        <is>
          <t>NGÀY LÀM TRƯỚC</t>
        </is>
      </c>
      <c r="AB3" s="9" t="inlineStr">
        <is>
          <t>THIẾU HÔM TRƯỚC</t>
        </is>
      </c>
      <c r="AC3" s="8" t="inlineStr">
        <is>
          <t>TRẠNG THÁI</t>
        </is>
      </c>
      <c r="AD3" s="8" t="inlineStr">
        <is>
          <t>GHI CHÚ</t>
        </is>
      </c>
      <c r="AE3" s="9" t="inlineStr">
        <is>
          <t>KIỂM TRA</t>
        </is>
      </c>
      <c r="AF3" s="9" t="inlineStr">
        <is>
          <t>KHÓA (máy dùng)</t>
        </is>
      </c>
      <c r="AG3" s="8" t="inlineStr">
        <is>
          <t>SỐ CÔNG NHÂN</t>
        </is>
      </c>
      <c r="AH3" s="9" t="inlineStr">
        <is>
          <t>SỐ LỖI
(tự cộng từ HANG_LOI)</t>
        </is>
      </c>
      <c r="AI3" s="8" t="inlineStr">
        <is>
          <t>LÝ DO KHÔNG ĐẠT</t>
        </is>
      </c>
      <c r="AJ3" s="8" t="inlineStr">
        <is>
          <t>PHÚT DỪNG MÁY</t>
        </is>
      </c>
      <c r="AK3" s="9" t="inlineStr">
        <is>
          <t>SP / NGƯỜI / GIỜ</t>
        </is>
      </c>
      <c r="AL3" s="9" t="inlineStr">
        <is>
          <t>TỶ LỆ LỖI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5</t>
        </is>
      </c>
      <c r="F4" s="10" t="inlineStr">
        <is>
          <t>6</t>
        </is>
      </c>
      <c r="G4" s="10" t="inlineStr">
        <is>
          <t>7</t>
        </is>
      </c>
      <c r="H4" s="10" t="inlineStr">
        <is>
          <t>8</t>
        </is>
      </c>
      <c r="I4" s="10" t="inlineStr">
        <is>
          <t>9</t>
        </is>
      </c>
      <c r="J4" s="10" t="inlineStr">
        <is>
          <t>10</t>
        </is>
      </c>
      <c r="K4" s="10" t="inlineStr">
        <is>
          <t>11</t>
        </is>
      </c>
      <c r="L4" s="10" t="inlineStr">
        <is>
          <t>12</t>
        </is>
      </c>
      <c r="M4" s="10" t="inlineStr">
        <is>
          <t>13</t>
        </is>
      </c>
      <c r="N4" s="10" t="inlineStr">
        <is>
          <t>14</t>
        </is>
      </c>
      <c r="O4" s="10" t="inlineStr">
        <is>
          <t>15</t>
        </is>
      </c>
      <c r="P4" s="10" t="inlineStr">
        <is>
          <t>16</t>
        </is>
      </c>
      <c r="Q4" s="10" t="inlineStr">
        <is>
          <t>17</t>
        </is>
      </c>
      <c r="R4" s="10" t="inlineStr">
        <is>
          <t>18</t>
        </is>
      </c>
      <c r="S4" s="10" t="inlineStr">
        <is>
          <t>19</t>
        </is>
      </c>
      <c r="T4" s="10" t="inlineStr">
        <is>
          <t>20</t>
        </is>
      </c>
      <c r="U4" s="10" t="inlineStr">
        <is>
          <t>21</t>
        </is>
      </c>
      <c r="V4" s="10" t="inlineStr">
        <is>
          <t>22</t>
        </is>
      </c>
      <c r="W4" s="10" t="inlineStr">
        <is>
          <t>23</t>
        </is>
      </c>
      <c r="X4" s="10" t="inlineStr">
        <is>
          <t>24</t>
        </is>
      </c>
      <c r="Y4" s="10" t="inlineStr">
        <is>
          <t>25</t>
        </is>
      </c>
      <c r="Z4" s="10" t="inlineStr">
        <is>
          <t>26</t>
        </is>
      </c>
      <c r="AA4" s="10" t="inlineStr">
        <is>
          <t>27</t>
        </is>
      </c>
      <c r="AB4" s="10" t="inlineStr">
        <is>
          <t>28</t>
        </is>
      </c>
      <c r="AC4" s="10" t="inlineStr">
        <is>
          <t>29</t>
        </is>
      </c>
      <c r="AD4" s="10" t="inlineStr">
        <is>
          <t>30</t>
        </is>
      </c>
      <c r="AE4" s="10" t="inlineStr">
        <is>
          <t>31</t>
        </is>
      </c>
      <c r="AF4" s="10" t="inlineStr">
        <is>
          <t>32</t>
        </is>
      </c>
      <c r="AG4" s="10" t="inlineStr">
        <is>
          <t>33</t>
        </is>
      </c>
      <c r="AH4" s="10" t="inlineStr">
        <is>
          <t>34</t>
        </is>
      </c>
      <c r="AI4" s="10" t="inlineStr">
        <is>
          <t>35</t>
        </is>
      </c>
      <c r="AJ4" s="10" t="inlineStr">
        <is>
          <t>36</t>
        </is>
      </c>
      <c r="AK4" s="10" t="inlineStr">
        <is>
          <t>37</t>
        </is>
      </c>
      <c r="AL4" s="10" t="inlineStr">
        <is>
          <t>38</t>
        </is>
      </c>
    </row>
    <row r="5">
      <c r="A5" s="15" t="n">
        <v>46295</v>
      </c>
      <c r="B5" s="12" t="inlineStr">
        <is>
          <t>Chuyền 1</t>
        </is>
      </c>
      <c r="C5" s="11" t="inlineStr">
        <is>
          <t>ĐAI LƯNG</t>
        </is>
      </c>
      <c r="D5" s="11" t="inlineStr">
        <is>
          <t>8H</t>
        </is>
      </c>
      <c r="E5" s="17" t="n">
        <v>100</v>
      </c>
      <c r="F5" s="13">
        <f>IF(D5="","",IFERROR(INDEX(CAU_HINH_CA!$C$5:$C$50,MATCH(D5,CAU_HINH_CA!$A$5:$A$50,0)),""))</f>
        <v/>
      </c>
      <c r="G5" s="18">
        <f>IF(OR(F5="",E5=""),"",ROUND(F5*E5,0))</f>
        <v/>
      </c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8">
        <f>IF(COUNT(H5:S5)=0,"",SUM(H5:S5))</f>
        <v/>
      </c>
      <c r="U5" s="19">
        <f>IF(OR(T5="",N(G5)=0),"",T5/G5)</f>
        <v/>
      </c>
      <c r="V5" s="20">
        <f>IF(OR(T5="",G5=""),"",T5-G5)</f>
        <v/>
      </c>
      <c r="W5" s="18">
        <f>IF(OR(T5="",G5=""),"",MAX(0,G5-T5))</f>
        <v/>
      </c>
      <c r="X5" s="21">
        <f>IF(A5="","",COUNT(H5:S5))</f>
        <v/>
      </c>
      <c r="Y5" s="18">
        <f>IF(OR(X5="",E5="",G5=""),"",MIN(G5,X5*E5))</f>
        <v/>
      </c>
      <c r="Z5" s="19">
        <f>IF(OR(T5="",N(Y5)=0),"",T5/Y5)</f>
        <v/>
      </c>
      <c r="AA5" s="22">
        <f>IF(OR(A5="",B5=""),"",IF(SUMPRODUCT(MAX(($B$5:$B$10004=B5)*($A$5:$A$10004&lt;A5)*$A$5:$A$10004))=0,"",SUMPRODUCT(MAX(($B$5:$B$10004=B5)*($A$5:$A$10004&lt;A5)*$A$5:$A$10004))))</f>
        <v/>
      </c>
      <c r="AB5" s="18">
        <f>IF(N(AA5)=0,"",SUMIFS($W$5:$W$10004,$B$5:$B$10004,B5,$A$5:$A$10004,AA5))</f>
        <v/>
      </c>
      <c r="AC5" s="12" t="inlineStr">
        <is>
          <t>Đang chạy</t>
        </is>
      </c>
      <c r="AD5" s="12" t="n"/>
      <c r="AE5" s="16">
        <f>IF(OR(A5="",B5=""),"",IF(COUNTIFS($A$5:$A$10004,A5,$B$5:$B$10004,B5)&gt;1,"TRÙNG NGÀY + CHUYỀN",IF(G5="","THIẾU MÃ CA / MỤC TIÊU GIỜ",IF(SUMPRODUCT((COLUMN(H5:S5)-COLUMN(H5)+1&gt;ROUNDUP(F5,0))*(H5:S5&lt;&gt;""))&gt;0,"NHẬP QUÁ GIỜ CA",IF(AND(N(X5)&gt;=ROUNDUP(N(F5),0),N(F5)&gt;0,N(T5)&lt;N(G5),AI5=""),"CHƯA GHI LÝ DO KHÔNG ĐẠT",IF(COUNTIFS(MUC_TIEU_THANG!$B$5:$B$2004,C5,MUC_TIEU_THANG!$A$5:$A$2004,"&gt;="&amp;DATE(YEAR(A5),MONTH(A5),1),MUC_TIEU_THANG!$A$5:$A$2004,"&lt;"&amp;DATE(YEAR(A5),MONTH(A5)+1,1))=0,"CHƯA CÓ MỤC TIÊU THÁNG","OK"))))))</f>
        <v/>
      </c>
      <c r="AF5" s="16">
        <f>IF(OR(A5="",B5=""),"",B5&amp;"|"&amp;A5)</f>
        <v/>
      </c>
      <c r="AG5" s="23" t="n"/>
      <c r="AH5" s="18">
        <f>IF(OR(A5="",B5="",COUNTIFS(HANG_LOI!$A$5:$A$10004,A5,HANG_LOI!$C$5:$C$10004,B5)=0),"",SUMIFS(HANG_LOI!$F$5:$F$10004,HANG_LOI!$A$5:$A$10004,A5,HANG_LOI!$C$5:$C$10004,B5))</f>
        <v/>
      </c>
      <c r="AI5" s="12" t="n"/>
      <c r="AJ5" s="23" t="n"/>
      <c r="AK5" s="24">
        <f>IF(OR(T5="",N(AG5)=0,N(X5)=0),"",T5/(AG5*X5))</f>
        <v/>
      </c>
      <c r="AL5" s="25">
        <f>IF(OR(AH5="",N(T5)=0),"",AH5/T5)</f>
        <v/>
      </c>
    </row>
    <row r="6">
      <c r="A6" s="15" t="n">
        <v>46295</v>
      </c>
      <c r="B6" s="12" t="inlineStr">
        <is>
          <t>Chuyền 2</t>
        </is>
      </c>
      <c r="C6" s="11" t="inlineStr">
        <is>
          <t>BAO TAY XANH</t>
        </is>
      </c>
      <c r="D6" s="11" t="inlineStr">
        <is>
          <t>10H</t>
        </is>
      </c>
      <c r="E6" s="17" t="n">
        <v>100</v>
      </c>
      <c r="F6" s="13">
        <f>IF(D6="","",IFERROR(INDEX(CAU_HINH_CA!$C$5:$C$50,MATCH(D6,CAU_HINH_CA!$A$5:$A$50,0)),""))</f>
        <v/>
      </c>
      <c r="G6" s="18">
        <f>IF(OR(F6="",E6=""),"",ROUND(F6*E6,0))</f>
        <v/>
      </c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8">
        <f>IF(COUNT(H6:S6)=0,"",SUM(H6:S6))</f>
        <v/>
      </c>
      <c r="U6" s="19">
        <f>IF(OR(T6="",N(G6)=0),"",T6/G6)</f>
        <v/>
      </c>
      <c r="V6" s="20">
        <f>IF(OR(T6="",G6=""),"",T6-G6)</f>
        <v/>
      </c>
      <c r="W6" s="18">
        <f>IF(OR(T6="",G6=""),"",MAX(0,G6-T6))</f>
        <v/>
      </c>
      <c r="X6" s="21">
        <f>IF(A6="","",COUNT(H6:S6))</f>
        <v/>
      </c>
      <c r="Y6" s="18">
        <f>IF(OR(X6="",E6="",G6=""),"",MIN(G6,X6*E6))</f>
        <v/>
      </c>
      <c r="Z6" s="19">
        <f>IF(OR(T6="",N(Y6)=0),"",T6/Y6)</f>
        <v/>
      </c>
      <c r="AA6" s="22">
        <f>IF(OR(A6="",B6=""),"",IF(SUMPRODUCT(MAX(($B$5:$B$10004=B6)*($A$5:$A$10004&lt;A6)*$A$5:$A$10004))=0,"",SUMPRODUCT(MAX(($B$5:$B$10004=B6)*($A$5:$A$10004&lt;A6)*$A$5:$A$10004))))</f>
        <v/>
      </c>
      <c r="AB6" s="18">
        <f>IF(N(AA6)=0,"",SUMIFS($W$5:$W$10004,$B$5:$B$10004,B6,$A$5:$A$10004,AA6))</f>
        <v/>
      </c>
      <c r="AC6" s="12" t="inlineStr">
        <is>
          <t>Đang chạy</t>
        </is>
      </c>
      <c r="AD6" s="12" t="n"/>
      <c r="AE6" s="16">
        <f>IF(OR(A6="",B6=""),"",IF(COUNTIFS($A$5:$A$10004,A6,$B$5:$B$10004,B6)&gt;1,"TRÙNG NGÀY + CHUYỀN",IF(G6="","THIẾU MÃ CA / MỤC TIÊU GIỜ",IF(SUMPRODUCT((COLUMN(H6:S6)-COLUMN(H6)+1&gt;ROUNDUP(F6,0))*(H6:S6&lt;&gt;""))&gt;0,"NHẬP QUÁ GIỜ CA",IF(AND(N(X6)&gt;=ROUNDUP(N(F6),0),N(F6)&gt;0,N(T6)&lt;N(G6),AI6=""),"CHƯA GHI LÝ DO KHÔNG ĐẠT",IF(COUNTIFS(MUC_TIEU_THANG!$B$5:$B$2004,C6,MUC_TIEU_THANG!$A$5:$A$2004,"&gt;="&amp;DATE(YEAR(A6),MONTH(A6),1),MUC_TIEU_THANG!$A$5:$A$2004,"&lt;"&amp;DATE(YEAR(A6),MONTH(A6)+1,1))=0,"CHƯA CÓ MỤC TIÊU THÁNG","OK"))))))</f>
        <v/>
      </c>
      <c r="AF6" s="16">
        <f>IF(OR(A6="",B6=""),"",B6&amp;"|"&amp;A6)</f>
        <v/>
      </c>
      <c r="AG6" s="23" t="n"/>
      <c r="AH6" s="18">
        <f>IF(OR(A6="",B6="",COUNTIFS(HANG_LOI!$A$5:$A$10004,A6,HANG_LOI!$C$5:$C$10004,B6)=0),"",SUMIFS(HANG_LOI!$F$5:$F$10004,HANG_LOI!$A$5:$A$10004,A6,HANG_LOI!$C$5:$C$10004,B6))</f>
        <v/>
      </c>
      <c r="AI6" s="12" t="n"/>
      <c r="AJ6" s="23" t="n"/>
      <c r="AK6" s="24">
        <f>IF(OR(T6="",N(AG6)=0,N(X6)=0),"",T6/(AG6*X6))</f>
        <v/>
      </c>
      <c r="AL6" s="25">
        <f>IF(OR(AH6="",N(T6)=0),"",AH6/T6)</f>
        <v/>
      </c>
    </row>
    <row r="7">
      <c r="A7" s="15" t="n">
        <v>46295</v>
      </c>
      <c r="B7" s="12" t="inlineStr">
        <is>
          <t>Chuyền 3</t>
        </is>
      </c>
      <c r="C7" s="11" t="inlineStr">
        <is>
          <t>883</t>
        </is>
      </c>
      <c r="D7" s="11" t="inlineStr">
        <is>
          <t>11H30</t>
        </is>
      </c>
      <c r="E7" s="17" t="n">
        <v>185</v>
      </c>
      <c r="F7" s="13">
        <f>IF(D7="","",IFERROR(INDEX(CAU_HINH_CA!$C$5:$C$50,MATCH(D7,CAU_HINH_CA!$A$5:$A$50,0)),""))</f>
        <v/>
      </c>
      <c r="G7" s="18">
        <f>IF(OR(F7="",E7=""),"",ROUND(F7*E7,0))</f>
        <v/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8">
        <f>IF(COUNT(H7:S7)=0,"",SUM(H7:S7))</f>
        <v/>
      </c>
      <c r="U7" s="19">
        <f>IF(OR(T7="",N(G7)=0),"",T7/G7)</f>
        <v/>
      </c>
      <c r="V7" s="20">
        <f>IF(OR(T7="",G7=""),"",T7-G7)</f>
        <v/>
      </c>
      <c r="W7" s="18">
        <f>IF(OR(T7="",G7=""),"",MAX(0,G7-T7))</f>
        <v/>
      </c>
      <c r="X7" s="21">
        <f>IF(A7="","",COUNT(H7:S7))</f>
        <v/>
      </c>
      <c r="Y7" s="18">
        <f>IF(OR(X7="",E7="",G7=""),"",MIN(G7,X7*E7))</f>
        <v/>
      </c>
      <c r="Z7" s="19">
        <f>IF(OR(T7="",N(Y7)=0),"",T7/Y7)</f>
        <v/>
      </c>
      <c r="AA7" s="22">
        <f>IF(OR(A7="",B7=""),"",IF(SUMPRODUCT(MAX(($B$5:$B$10004=B7)*($A$5:$A$10004&lt;A7)*$A$5:$A$10004))=0,"",SUMPRODUCT(MAX(($B$5:$B$10004=B7)*($A$5:$A$10004&lt;A7)*$A$5:$A$10004))))</f>
        <v/>
      </c>
      <c r="AB7" s="18">
        <f>IF(N(AA7)=0,"",SUMIFS($W$5:$W$10004,$B$5:$B$10004,B7,$A$5:$A$10004,AA7))</f>
        <v/>
      </c>
      <c r="AC7" s="12" t="inlineStr">
        <is>
          <t>Đang chạy</t>
        </is>
      </c>
      <c r="AD7" s="12" t="n"/>
      <c r="AE7" s="16">
        <f>IF(OR(A7="",B7=""),"",IF(COUNTIFS($A$5:$A$10004,A7,$B$5:$B$10004,B7)&gt;1,"TRÙNG NGÀY + CHUYỀN",IF(G7="","THIẾU MÃ CA / MỤC TIÊU GIỜ",IF(SUMPRODUCT((COLUMN(H7:S7)-COLUMN(H7)+1&gt;ROUNDUP(F7,0))*(H7:S7&lt;&gt;""))&gt;0,"NHẬP QUÁ GIỜ CA",IF(AND(N(X7)&gt;=ROUNDUP(N(F7),0),N(F7)&gt;0,N(T7)&lt;N(G7),AI7=""),"CHƯA GHI LÝ DO KHÔNG ĐẠT",IF(COUNTIFS(MUC_TIEU_THANG!$B$5:$B$2004,C7,MUC_TIEU_THANG!$A$5:$A$2004,"&gt;="&amp;DATE(YEAR(A7),MONTH(A7),1),MUC_TIEU_THANG!$A$5:$A$2004,"&lt;"&amp;DATE(YEAR(A7),MONTH(A7)+1,1))=0,"CHƯA CÓ MỤC TIÊU THÁNG","OK"))))))</f>
        <v/>
      </c>
      <c r="AF7" s="16">
        <f>IF(OR(A7="",B7=""),"",B7&amp;"|"&amp;A7)</f>
        <v/>
      </c>
      <c r="AG7" s="23" t="n"/>
      <c r="AH7" s="18">
        <f>IF(OR(A7="",B7="",COUNTIFS(HANG_LOI!$A$5:$A$10004,A7,HANG_LOI!$C$5:$C$10004,B7)=0),"",SUMIFS(HANG_LOI!$F$5:$F$10004,HANG_LOI!$A$5:$A$10004,A7,HANG_LOI!$C$5:$C$10004,B7))</f>
        <v/>
      </c>
      <c r="AI7" s="12" t="n"/>
      <c r="AJ7" s="23" t="n"/>
      <c r="AK7" s="24">
        <f>IF(OR(T7="",N(AG7)=0,N(X7)=0),"",T7/(AG7*X7))</f>
        <v/>
      </c>
      <c r="AL7" s="25">
        <f>IF(OR(AH7="",N(T7)=0),"",AH7/T7)</f>
        <v/>
      </c>
    </row>
    <row r="8">
      <c r="A8" s="15" t="n">
        <v>46295</v>
      </c>
      <c r="B8" s="12" t="inlineStr">
        <is>
          <t>Chuyền 4</t>
        </is>
      </c>
      <c r="C8" s="11" t="inlineStr">
        <is>
          <t>MÃ 9H</t>
        </is>
      </c>
      <c r="D8" s="11" t="inlineStr">
        <is>
          <t>9H</t>
        </is>
      </c>
      <c r="E8" s="17" t="n">
        <v>100</v>
      </c>
      <c r="F8" s="13">
        <f>IF(D8="","",IFERROR(INDEX(CAU_HINH_CA!$C$5:$C$50,MATCH(D8,CAU_HINH_CA!$A$5:$A$50,0)),""))</f>
        <v/>
      </c>
      <c r="G8" s="18">
        <f>IF(OR(F8="",E8=""),"",ROUND(F8*E8,0))</f>
        <v/>
      </c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8">
        <f>IF(COUNT(H8:S8)=0,"",SUM(H8:S8))</f>
        <v/>
      </c>
      <c r="U8" s="19">
        <f>IF(OR(T8="",N(G8)=0),"",T8/G8)</f>
        <v/>
      </c>
      <c r="V8" s="20">
        <f>IF(OR(T8="",G8=""),"",T8-G8)</f>
        <v/>
      </c>
      <c r="W8" s="18">
        <f>IF(OR(T8="",G8=""),"",MAX(0,G8-T8))</f>
        <v/>
      </c>
      <c r="X8" s="21">
        <f>IF(A8="","",COUNT(H8:S8))</f>
        <v/>
      </c>
      <c r="Y8" s="18">
        <f>IF(OR(X8="",E8="",G8=""),"",MIN(G8,X8*E8))</f>
        <v/>
      </c>
      <c r="Z8" s="19">
        <f>IF(OR(T8="",N(Y8)=0),"",T8/Y8)</f>
        <v/>
      </c>
      <c r="AA8" s="22">
        <f>IF(OR(A8="",B8=""),"",IF(SUMPRODUCT(MAX(($B$5:$B$10004=B8)*($A$5:$A$10004&lt;A8)*$A$5:$A$10004))=0,"",SUMPRODUCT(MAX(($B$5:$B$10004=B8)*($A$5:$A$10004&lt;A8)*$A$5:$A$10004))))</f>
        <v/>
      </c>
      <c r="AB8" s="18">
        <f>IF(N(AA8)=0,"",SUMIFS($W$5:$W$10004,$B$5:$B$10004,B8,$A$5:$A$10004,AA8))</f>
        <v/>
      </c>
      <c r="AC8" s="12" t="inlineStr">
        <is>
          <t>Đang chạy</t>
        </is>
      </c>
      <c r="AD8" s="12" t="n"/>
      <c r="AE8" s="16">
        <f>IF(OR(A8="",B8=""),"",IF(COUNTIFS($A$5:$A$10004,A8,$B$5:$B$10004,B8)&gt;1,"TRÙNG NGÀY + CHUYỀN",IF(G8="","THIẾU MÃ CA / MỤC TIÊU GIỜ",IF(SUMPRODUCT((COLUMN(H8:S8)-COLUMN(H8)+1&gt;ROUNDUP(F8,0))*(H8:S8&lt;&gt;""))&gt;0,"NHẬP QUÁ GIỜ CA",IF(AND(N(X8)&gt;=ROUNDUP(N(F8),0),N(F8)&gt;0,N(T8)&lt;N(G8),AI8=""),"CHƯA GHI LÝ DO KHÔNG ĐẠT",IF(COUNTIFS(MUC_TIEU_THANG!$B$5:$B$2004,C8,MUC_TIEU_THANG!$A$5:$A$2004,"&gt;="&amp;DATE(YEAR(A8),MONTH(A8),1),MUC_TIEU_THANG!$A$5:$A$2004,"&lt;"&amp;DATE(YEAR(A8),MONTH(A8)+1,1))=0,"CHƯA CÓ MỤC TIÊU THÁNG","OK"))))))</f>
        <v/>
      </c>
      <c r="AF8" s="16">
        <f>IF(OR(A8="",B8=""),"",B8&amp;"|"&amp;A8)</f>
        <v/>
      </c>
      <c r="AG8" s="23" t="n"/>
      <c r="AH8" s="18">
        <f>IF(OR(A8="",B8="",COUNTIFS(HANG_LOI!$A$5:$A$10004,A8,HANG_LOI!$C$5:$C$10004,B8)=0),"",SUMIFS(HANG_LOI!$F$5:$F$10004,HANG_LOI!$A$5:$A$10004,A8,HANG_LOI!$C$5:$C$10004,B8))</f>
        <v/>
      </c>
      <c r="AI8" s="12" t="n"/>
      <c r="AJ8" s="23" t="n"/>
      <c r="AK8" s="24">
        <f>IF(OR(T8="",N(AG8)=0,N(X8)=0),"",T8/(AG8*X8))</f>
        <v/>
      </c>
      <c r="AL8" s="25">
        <f>IF(OR(AH8="",N(T8)=0),"",AH8/T8)</f>
        <v/>
      </c>
    </row>
    <row r="9">
      <c r="A9" s="15" t="n">
        <v>46295</v>
      </c>
      <c r="B9" s="12" t="inlineStr">
        <is>
          <t>Chuyền 6</t>
        </is>
      </c>
      <c r="C9" s="11" t="inlineStr">
        <is>
          <t>567</t>
        </is>
      </c>
      <c r="D9" s="11" t="inlineStr">
        <is>
          <t>10H</t>
        </is>
      </c>
      <c r="E9" s="17" t="n">
        <v>40</v>
      </c>
      <c r="F9" s="13">
        <f>IF(D9="","",IFERROR(INDEX(CAU_HINH_CA!$C$5:$C$50,MATCH(D9,CAU_HINH_CA!$A$5:$A$50,0)),""))</f>
        <v/>
      </c>
      <c r="G9" s="18">
        <f>IF(OR(F9="",E9=""),"",ROUND(F9*E9,0))</f>
        <v/>
      </c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8">
        <f>IF(COUNT(H9:S9)=0,"",SUM(H9:S9))</f>
        <v/>
      </c>
      <c r="U9" s="19">
        <f>IF(OR(T9="",N(G9)=0),"",T9/G9)</f>
        <v/>
      </c>
      <c r="V9" s="20">
        <f>IF(OR(T9="",G9=""),"",T9-G9)</f>
        <v/>
      </c>
      <c r="W9" s="18">
        <f>IF(OR(T9="",G9=""),"",MAX(0,G9-T9))</f>
        <v/>
      </c>
      <c r="X9" s="21">
        <f>IF(A9="","",COUNT(H9:S9))</f>
        <v/>
      </c>
      <c r="Y9" s="18">
        <f>IF(OR(X9="",E9="",G9=""),"",MIN(G9,X9*E9))</f>
        <v/>
      </c>
      <c r="Z9" s="19">
        <f>IF(OR(T9="",N(Y9)=0),"",T9/Y9)</f>
        <v/>
      </c>
      <c r="AA9" s="22">
        <f>IF(OR(A9="",B9=""),"",IF(SUMPRODUCT(MAX(($B$5:$B$10004=B9)*($A$5:$A$10004&lt;A9)*$A$5:$A$10004))=0,"",SUMPRODUCT(MAX(($B$5:$B$10004=B9)*($A$5:$A$10004&lt;A9)*$A$5:$A$10004))))</f>
        <v/>
      </c>
      <c r="AB9" s="18">
        <f>IF(N(AA9)=0,"",SUMIFS($W$5:$W$10004,$B$5:$B$10004,B9,$A$5:$A$10004,AA9))</f>
        <v/>
      </c>
      <c r="AC9" s="12" t="inlineStr">
        <is>
          <t>Đang chạy</t>
        </is>
      </c>
      <c r="AD9" s="12" t="n"/>
      <c r="AE9" s="16">
        <f>IF(OR(A9="",B9=""),"",IF(COUNTIFS($A$5:$A$10004,A9,$B$5:$B$10004,B9)&gt;1,"TRÙNG NGÀY + CHUYỀN",IF(G9="","THIẾU MÃ CA / MỤC TIÊU GIỜ",IF(SUMPRODUCT((COLUMN(H9:S9)-COLUMN(H9)+1&gt;ROUNDUP(F9,0))*(H9:S9&lt;&gt;""))&gt;0,"NHẬP QUÁ GIỜ CA",IF(AND(N(X9)&gt;=ROUNDUP(N(F9),0),N(F9)&gt;0,N(T9)&lt;N(G9),AI9=""),"CHƯA GHI LÝ DO KHÔNG ĐẠT",IF(COUNTIFS(MUC_TIEU_THANG!$B$5:$B$2004,C9,MUC_TIEU_THANG!$A$5:$A$2004,"&gt;="&amp;DATE(YEAR(A9),MONTH(A9),1),MUC_TIEU_THANG!$A$5:$A$2004,"&lt;"&amp;DATE(YEAR(A9),MONTH(A9)+1,1))=0,"CHƯA CÓ MỤC TIÊU THÁNG","OK"))))))</f>
        <v/>
      </c>
      <c r="AF9" s="16">
        <f>IF(OR(A9="",B9=""),"",B9&amp;"|"&amp;A9)</f>
        <v/>
      </c>
      <c r="AG9" s="23" t="n"/>
      <c r="AH9" s="18">
        <f>IF(OR(A9="",B9="",COUNTIFS(HANG_LOI!$A$5:$A$10004,A9,HANG_LOI!$C$5:$C$10004,B9)=0),"",SUMIFS(HANG_LOI!$F$5:$F$10004,HANG_LOI!$A$5:$A$10004,A9,HANG_LOI!$C$5:$C$10004,B9))</f>
        <v/>
      </c>
      <c r="AI9" s="12" t="n"/>
      <c r="AJ9" s="23" t="n"/>
      <c r="AK9" s="24">
        <f>IF(OR(T9="",N(AG9)=0,N(X9)=0),"",T9/(AG9*X9))</f>
        <v/>
      </c>
      <c r="AL9" s="25">
        <f>IF(OR(AH9="",N(T9)=0),"",AH9/T9)</f>
        <v/>
      </c>
    </row>
  </sheetData>
  <mergeCells count="1">
    <mergeCell ref="A1:H1"/>
  </mergeCells>
  <conditionalFormatting sqref="A5:AL9">
    <cfRule type="expression" priority="1" dxfId="0">
      <formula>AND($A5&lt;&gt;"",$B5&lt;&gt;"",COUNTIFS($A$5:$A$10004,$A5,$B$5:$B$10004,$B5)&gt;1)</formula>
    </cfRule>
  </conditionalFormatting>
  <conditionalFormatting sqref="H5:S9">
    <cfRule type="expression" priority="2" dxfId="1">
      <formula>AND(H5&lt;&gt;"",COLUMN(H5)-COLUMN($H5)+1&gt;ROUNDUP(IFERROR(INDEX(CAU_HINH_CA!$C$5:$C$50,MATCH($D5,CAU_HINH_CA!$A$5:$A$50,0)),99),0))</formula>
    </cfRule>
  </conditionalFormatting>
  <conditionalFormatting sqref="AE5:AE9">
    <cfRule type="expression" priority="3" dxfId="0">
      <formula>AND(AE5&lt;&gt;"",AE5&lt;&gt;"OK")</formula>
    </cfRule>
  </conditionalFormatting>
  <conditionalFormatting sqref="U5:U9">
    <cfRule type="expression" priority="4" dxfId="2">
      <formula>AND(ISNUMBER(U5),U5&lt;1)</formula>
    </cfRule>
    <cfRule type="expression" priority="5" dxfId="3">
      <formula>AND(ISNUMBER(U5),U5&gt;=1)</formula>
    </cfRule>
  </conditionalFormatting>
  <conditionalFormatting sqref="Z5:Z9">
    <cfRule type="expression" priority="6" dxfId="2">
      <formula>AND(ISNUMBER(Z5),Z5&lt;1)</formula>
    </cfRule>
    <cfRule type="expression" priority="7" dxfId="3">
      <formula>AND(ISNUMBER(Z5),Z5&gt;=1)</formula>
    </cfRule>
  </conditionalFormatting>
  <conditionalFormatting sqref="AB5:AB9">
    <cfRule type="expression" priority="8" dxfId="2">
      <formula>AND(ISNUMBER(AB5),AB5&gt;0)</formula>
    </cfRule>
  </conditionalFormatting>
  <dataValidations count="7">
    <dataValidation sqref="B5:B9" showDropDown="0" showInputMessage="0" showErrorMessage="1" allowBlank="1" errorTitle="Sai dữ liệu" error="Chọn giá trị trong danh sách." type="list">
      <formula1>DS_CHUYEN</formula1>
    </dataValidation>
    <dataValidation sqref="C5:C9" showDropDown="0" showInputMessage="0" showErrorMessage="1" allowBlank="1" errorTitle="Sai dữ liệu" error="Mã sản phẩm phải có trong sheet DANH_SACH_SAN_PHAM." type="list">
      <formula1>DS_MA_SAN_PHAM</formula1>
    </dataValidation>
    <dataValidation sqref="D5:D9" showDropDown="0" showInputMessage="0" showErrorMessage="1" allowBlank="1" errorTitle="Sai dữ liệu" error="Chọn giá trị trong danh sách." type="list">
      <formula1>DS_MA_CA</formula1>
    </dataValidation>
    <dataValidation sqref="AC5:AC9" showDropDown="0" showInputMessage="0" showErrorMessage="1" allowBlank="1" errorTitle="Sai dữ liệu" error="Chọn giá trị trong danh sách." type="list">
      <formula1>"Chưa chạy,Đang chạy,Hoàn thành,Tạm dừng"</formula1>
    </dataValidation>
    <dataValidation sqref="A5:A9" showDropDown="0" showInputMessage="0" showErrorMessage="1" allowBlank="1" error="Nhập ngày dạng dd/mm/yyyy." type="date" operator="greaterThan">
      <formula1>DATE(2020,1,1)</formula1>
    </dataValidation>
    <dataValidation sqref="E5:E9 H5:S9 AG5:AG9 AJ5:AJ9" showDropDown="0" showInputMessage="0" showErrorMessage="1" allowBlank="1" error="Nhập số nguyên ≥ 0." type="whole" operator="greaterThanOrEqual">
      <formula1>0</formula1>
    </dataValidation>
    <dataValidation sqref="AI5:AI9" showDropDown="0" showInputMessage="0" showErrorMessage="1" allowBlank="1" errorTitle="Sai dữ liệu" error="Chọn lý do trong sheet DANH_SACH_LY_DO." type="list">
      <formula1>DS_LY_DO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22" customWidth="1" min="5" max="5"/>
    <col width="10" customWidth="1" min="6" max="6"/>
    <col width="26" customWidth="1" min="7" max="7"/>
    <col width="24" customWidth="1" min="8" max="8"/>
    <col width="10" customWidth="1" min="9" max="9"/>
    <col width="26" customWidth="1" min="10" max="10"/>
  </cols>
  <sheetData>
    <row r="1" ht="28" customHeight="1">
      <c r="A1" s="6" t="inlineStr">
        <is>
          <t>不良品記錄 / HÀNG LỖI (kèm ảnh, hiện trên TV)</t>
        </is>
      </c>
    </row>
    <row r="2" ht="28" customHeight="1">
      <c r="A2" s="7" t="inlineStr">
        <is>
          <t>日期</t>
        </is>
      </c>
      <c r="B2" s="7" t="inlineStr">
        <is>
          <t>時間</t>
        </is>
      </c>
      <c r="C2" s="7" t="inlineStr">
        <is>
          <t>產線</t>
        </is>
      </c>
      <c r="D2" s="7" t="inlineStr">
        <is>
          <t>产品代码</t>
        </is>
      </c>
      <c r="E2" s="7" t="inlineStr">
        <is>
          <t>不良類型</t>
        </is>
      </c>
      <c r="F2" s="7" t="inlineStr">
        <is>
          <t>數量PCS</t>
        </is>
      </c>
      <c r="G2" s="7" t="inlineStr">
        <is>
          <t>照片檔名</t>
        </is>
      </c>
      <c r="H2" s="7" t="inlineStr">
        <is>
          <t>備註</t>
        </is>
      </c>
      <c r="I2" s="7" t="inlineStr">
        <is>
          <t>電視顯示</t>
        </is>
      </c>
      <c r="J2" s="7" t="inlineStr">
        <is>
          <t>檢查</t>
        </is>
      </c>
    </row>
    <row r="3" ht="38" customHeight="1">
      <c r="A3" s="8" t="inlineStr">
        <is>
          <t>NGÀY</t>
        </is>
      </c>
      <c r="B3" s="8" t="inlineStr">
        <is>
          <t>GIỜ</t>
        </is>
      </c>
      <c r="C3" s="8" t="inlineStr">
        <is>
          <t>CHUYỀN</t>
        </is>
      </c>
      <c r="D3" s="9" t="inlineStr">
        <is>
          <t>MÃ SẢN PHẨM
(tự lấy)</t>
        </is>
      </c>
      <c r="E3" s="8" t="inlineStr">
        <is>
          <t>LOẠI LỖI</t>
        </is>
      </c>
      <c r="F3" s="8" t="inlineStr">
        <is>
          <t>SỐ LƯỢNG</t>
        </is>
      </c>
      <c r="G3" s="8" t="inlineStr">
        <is>
          <t>TÊN FILE ẢNH</t>
        </is>
      </c>
      <c r="H3" s="8" t="inlineStr">
        <is>
          <t>GHI CHÚ</t>
        </is>
      </c>
      <c r="I3" s="9" t="inlineStr">
        <is>
          <t>HIỆN TRÊN TV</t>
        </is>
      </c>
      <c r="J3" s="9" t="inlineStr">
        <is>
          <t>KIỂM TRA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5</t>
        </is>
      </c>
      <c r="F4" s="10" t="inlineStr">
        <is>
          <t>6</t>
        </is>
      </c>
      <c r="G4" s="10" t="inlineStr">
        <is>
          <t>7</t>
        </is>
      </c>
      <c r="H4" s="10" t="inlineStr">
        <is>
          <t>8</t>
        </is>
      </c>
      <c r="I4" s="10" t="inlineStr">
        <is>
          <t>9</t>
        </is>
      </c>
      <c r="J4" s="10" t="inlineStr">
        <is>
          <t>10</t>
        </is>
      </c>
    </row>
    <row r="5">
      <c r="A5" s="15" t="n">
        <v>46295</v>
      </c>
      <c r="B5" s="14" t="n">
        <v>0.4270833333333333</v>
      </c>
      <c r="C5" s="12" t="inlineStr">
        <is>
          <t>Chuyền 2</t>
        </is>
      </c>
      <c r="D5" s="26">
        <f>IF(OR(A5="",C5=""),"",IFERROR(INDEX(NHAP_LIEU!$C$5:$C$10004,MATCH(1,INDEX((NHAP_LIEU!$A$5:$A$10004=A5)*(NHAP_LIEU!$B$5:$B$10004=C5),0),0))&amp;"",""))</f>
        <v/>
      </c>
      <c r="E5" s="12" t="inlineStr">
        <is>
          <t>Rách đường may</t>
        </is>
      </c>
      <c r="F5" s="17" t="n">
        <v>1</v>
      </c>
      <c r="G5" s="12" t="inlineStr">
        <is>
          <t>vi_du_rach.jpg</t>
        </is>
      </c>
      <c r="H5" s="12" t="n"/>
      <c r="I5" s="16">
        <f>IF(OR(A5="",C5=""),"",IF(A5=HIEN_THI!$M$1,"CÓ",""))</f>
        <v/>
      </c>
      <c r="J5" s="16">
        <f>IF(AND(A5="",C5=""),"",IF(OR(A5="",C5=""),"THIẾU NGÀY / CHUYỀN",IF(D5="","CHƯA CÓ DÒNG NHẬP LIỆU NGÀY NÀY",IF(N(F5)&lt;=0,"THIẾU SỐ LƯỢNG",IF(E5="","CHƯA CHỌN LOẠI LỖI",IF(G5="","OK (chưa có ảnh)","OK"))))))</f>
        <v/>
      </c>
    </row>
    <row r="6">
      <c r="A6" s="15" t="n">
        <v>46295</v>
      </c>
      <c r="B6" s="14" t="n">
        <v>0.3958333333333333</v>
      </c>
      <c r="C6" s="12" t="inlineStr">
        <is>
          <t>Chuyền 1</t>
        </is>
      </c>
      <c r="D6" s="26">
        <f>IF(OR(A6="",C6=""),"",IFERROR(INDEX(NHAP_LIEU!$C$5:$C$10004,MATCH(1,INDEX((NHAP_LIEU!$A$5:$A$10004=A6)*(NHAP_LIEU!$B$5:$B$10004=C6),0),0))&amp;"",""))</f>
        <v/>
      </c>
      <c r="E6" s="12" t="inlineStr">
        <is>
          <t>Khóa / phụ kiện lệch</t>
        </is>
      </c>
      <c r="F6" s="17" t="n">
        <v>2</v>
      </c>
      <c r="G6" s="12" t="n"/>
      <c r="H6" s="12" t="n"/>
      <c r="I6" s="16">
        <f>IF(OR(A6="",C6=""),"",IF(A6=HIEN_THI!$M$1,"CÓ",""))</f>
        <v/>
      </c>
      <c r="J6" s="16">
        <f>IF(AND(A6="",C6=""),"",IF(OR(A6="",C6=""),"THIẾU NGÀY / CHUYỀN",IF(D6="","CHƯA CÓ DÒNG NHẬP LIỆU NGÀY NÀY",IF(N(F6)&lt;=0,"THIẾU SỐ LƯỢNG",IF(E6="","CHƯA CHỌN LOẠI LỖI",IF(G6="","OK (chưa có ảnh)","OK"))))))</f>
        <v/>
      </c>
    </row>
  </sheetData>
  <mergeCells count="1">
    <mergeCell ref="A1:H1"/>
  </mergeCells>
  <conditionalFormatting sqref="J5:J6">
    <cfRule type="expression" priority="1" dxfId="0">
      <formula>AND(J5&lt;&gt;"",LEFT(J5,2)&lt;&gt;"OK")</formula>
    </cfRule>
  </conditionalFormatting>
  <conditionalFormatting sqref="I5:I6">
    <cfRule type="expression" priority="2" dxfId="3">
      <formula>I5="CÓ"</formula>
    </cfRule>
  </conditionalFormatting>
  <dataValidations count="4">
    <dataValidation sqref="C5:C6" showDropDown="0" showInputMessage="0" showErrorMessage="1" allowBlank="1" errorTitle="Sai dữ liệu" error="Chọn giá trị trong danh sách." type="list">
      <formula1>DS_CHUYEN</formula1>
    </dataValidation>
    <dataValidation sqref="E5:E6" showDropDown="0" showInputMessage="0" showErrorMessage="1" allowBlank="1" errorTitle="Sai dữ liệu" error="Chọn loại lỗi trong sheet DANH_SACH_LOAI_LOI." type="list">
      <formula1>DS_LOAI_LOI</formula1>
    </dataValidation>
    <dataValidation sqref="A5:A6" showDropDown="0" showInputMessage="0" showErrorMessage="1" allowBlank="1" error="Nhập ngày dạng dd/mm/yyyy." type="date" operator="greaterThan">
      <formula1>DATE(2020,1,1)</formula1>
    </dataValidation>
    <dataValidation sqref="F5:F6" showDropDown="0" showInputMessage="0" showErrorMessage="1" allowBlank="1" error="Nhập số nguyên &gt; 0.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16" customWidth="1" min="5" max="5"/>
    <col width="16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12" customWidth="1" min="12" max="12"/>
    <col width="14" customWidth="1" min="13" max="13"/>
  </cols>
  <sheetData>
    <row r="1" ht="28" customHeight="1">
      <c r="A1" s="6" t="inlineStr">
        <is>
          <t>當月目標與累計 / MỤC TIÊU &amp; LŨY KẾ THÁNG</t>
        </is>
      </c>
    </row>
    <row r="2" ht="28" customHeight="1">
      <c r="A2" s="7" t="inlineStr">
        <is>
          <t>月份</t>
        </is>
      </c>
      <c r="B2" s="7" t="inlineStr">
        <is>
          <t>产品代码</t>
        </is>
      </c>
      <c r="C2" s="7" t="inlineStr">
        <is>
          <t>当月总目标产量PCS</t>
        </is>
      </c>
      <c r="D2" s="7" t="inlineStr">
        <is>
          <t>備註</t>
        </is>
      </c>
      <c r="E2" s="7" t="inlineStr">
        <is>
          <t>当月累计产能PCS</t>
        </is>
      </c>
      <c r="F2" s="7" t="inlineStr">
        <is>
          <t>当月累计差异PCS</t>
        </is>
      </c>
      <c r="G2" s="7" t="inlineStr">
        <is>
          <t>当月总达成率</t>
        </is>
      </c>
      <c r="H2" s="7" t="inlineStr">
        <is>
          <t>剩餘PCS</t>
        </is>
      </c>
      <c r="I2" s="7" t="inlineStr">
        <is>
          <t>累計每日目標PCS</t>
        </is>
      </c>
      <c r="J2" s="7" t="inlineStr">
        <is>
          <t>與每日目標差異PCS</t>
        </is>
      </c>
      <c r="K2" s="7" t="inlineStr">
        <is>
          <t>上月欠數PCS</t>
        </is>
      </c>
      <c r="L2" s="7" t="inlineStr">
        <is>
          <t>當月工作天數</t>
        </is>
      </c>
      <c r="M2" s="7" t="inlineStr">
        <is>
          <t>平均每日需產量PCS</t>
        </is>
      </c>
    </row>
    <row r="3" ht="38" customHeight="1">
      <c r="A3" s="8" t="inlineStr">
        <is>
          <t>THÁNG</t>
        </is>
      </c>
      <c r="B3" s="8" t="inlineStr">
        <is>
          <t>MÃ SẢN PHẨM</t>
        </is>
      </c>
      <c r="C3" s="8" t="inlineStr">
        <is>
          <t>TỔNG SẢN LƯỢNG MỤC TIÊU TRONG THÁNG</t>
        </is>
      </c>
      <c r="D3" s="8" t="inlineStr">
        <is>
          <t>GHI CHÚ</t>
        </is>
      </c>
      <c r="E3" s="9" t="inlineStr">
        <is>
          <t>LŨY KẾ SẢN LƯỢNG TRONG THÁNG</t>
        </is>
      </c>
      <c r="F3" s="9" t="inlineStr">
        <is>
          <t>LŨY KẾ CHÊNH LỆCH TRONG THÁNG</t>
        </is>
      </c>
      <c r="G3" s="9" t="inlineStr">
        <is>
          <t>TỔNG ĐẠT % TRONG THÁNG</t>
        </is>
      </c>
      <c r="H3" s="9" t="inlineStr">
        <is>
          <t>CÒN THIẾU TRONG THÁNG</t>
        </is>
      </c>
      <c r="I3" s="9" t="inlineStr">
        <is>
          <t>LŨY KẾ MỤC TIÊU NGÀY (các ngày đã nhập)</t>
        </is>
      </c>
      <c r="J3" s="9" t="inlineStr">
        <is>
          <t>CHÊNH LỆCH SO VỚI MỤC TIÊU NGÀY</t>
        </is>
      </c>
      <c r="K3" s="9" t="inlineStr">
        <is>
          <t>THIẾU THÁNG TRƯỚC</t>
        </is>
      </c>
      <c r="L3" s="9" t="inlineStr">
        <is>
          <t>SỐ NGÀY LÀM VIỆC TRONG THÁNG</t>
        </is>
      </c>
      <c r="M3" s="9" t="inlineStr">
        <is>
          <t>BÌNH QUÂN CẦN / NGÀY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5</t>
        </is>
      </c>
      <c r="F4" s="10" t="inlineStr">
        <is>
          <t>6</t>
        </is>
      </c>
      <c r="G4" s="10" t="inlineStr">
        <is>
          <t>7</t>
        </is>
      </c>
      <c r="H4" s="10" t="inlineStr">
        <is>
          <t>8</t>
        </is>
      </c>
      <c r="I4" s="10" t="inlineStr">
        <is>
          <t>9</t>
        </is>
      </c>
      <c r="J4" s="10" t="inlineStr">
        <is>
          <t>10</t>
        </is>
      </c>
      <c r="K4" s="10" t="inlineStr">
        <is>
          <t>11</t>
        </is>
      </c>
      <c r="L4" s="10" t="inlineStr">
        <is>
          <t>12</t>
        </is>
      </c>
      <c r="M4" s="10" t="inlineStr">
        <is>
          <t>13</t>
        </is>
      </c>
    </row>
    <row r="5">
      <c r="A5" s="27" t="n">
        <v>46266</v>
      </c>
      <c r="B5" s="11" t="inlineStr">
        <is>
          <t>ĐAI LƯNG</t>
        </is>
      </c>
      <c r="C5" s="17" t="n">
        <v>40000</v>
      </c>
      <c r="D5" s="12" t="n"/>
      <c r="E5" s="18">
        <f>IF(OR(A5="",B5=""),"",SUMPRODUCT((NHAP_LIEU!$C$5:$C$10004=B5)*(NHAP_LIEU!$A$5:$A$10004&gt;=DATE(YEAR(A5),MONTH(A5),1))*(NHAP_LIEU!$A$5:$A$10004&lt;DATE(YEAR(A5),MONTH(A5)+1,1))*NHAP_LIEU!$H$5:$S$10004))</f>
        <v/>
      </c>
      <c r="F5" s="20">
        <f>IF(OR(E5="",C5=""),"",E5-C5)</f>
        <v/>
      </c>
      <c r="G5" s="19">
        <f>IF(OR(E5="",N(C5)=0),"",E5/C5)</f>
        <v/>
      </c>
      <c r="H5" s="18">
        <f>IF(OR(E5="",C5=""),"",MAX(0,C5-E5))</f>
        <v/>
      </c>
      <c r="I5" s="18">
        <f>IF(OR(A5="",B5=""),"",SUMPRODUCT((NHAP_LIEU!$C$5:$C$10004=B5)*(NHAP_LIEU!$A$5:$A$10004&gt;=DATE(YEAR(A5),MONTH(A5),1))*(NHAP_LIEU!$A$5:$A$10004&lt;DATE(YEAR(A5),MONTH(A5)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J5" s="20">
        <f>IF(I5="","",E5-I5)</f>
        <v/>
      </c>
      <c r="K5" s="18">
        <f>IF(OR(A5="",B5=""),"",SUMIFS($H$5:$H$2004,$B$5:$B$2004,B5,$A$5:$A$2004,"&gt;="&amp;DATE(YEAR(A5),MONTH(A5)-1,1),$A$5:$A$2004,"&lt;"&amp;DATE(YEAR(A5),MONTH(A5),1)))</f>
        <v/>
      </c>
      <c r="L5" s="21">
        <f>IF(A5="","",MAX(0,NETWORKDAYS.INTL(DATE(YEAR(A5),MONTH(A5),1),EOMONTH(A5,0),11)-SUMPRODUCT((LICH_LAM_VIEC!$A$5:$A$1000&gt;=DATE(YEAR(A5),MONTH(A5),1))*(LICH_LAM_VIEC!$A$5:$A$1000&lt;=EOMONTH(A5,0))*(LICH_LAM_VIEC!$B$5:$B$1000="Nghỉ")*(WEEKDAY(LICH_LAM_VIEC!$A$5:$A$1000)&lt;&gt;1))+SUMPRODUCT((LICH_LAM_VIEC!$A$5:$A$1000&gt;=DATE(YEAR(A5),MONTH(A5),1))*(LICH_LAM_VIEC!$A$5:$A$1000&lt;=EOMONTH(A5,0))*(LICH_LAM_VIEC!$B$5:$B$1000="Làm bù")*(WEEKDAY(LICH_LAM_VIEC!$A$5:$A$1000)=1))))</f>
        <v/>
      </c>
      <c r="M5" s="18">
        <f>IF(OR(N(L5)=0,C5=""),"",ROUNDUP(C5/L5,0))</f>
        <v/>
      </c>
    </row>
    <row r="6">
      <c r="A6" s="27" t="n">
        <v>46266</v>
      </c>
      <c r="B6" s="11" t="inlineStr">
        <is>
          <t>BAO TAY XANH</t>
        </is>
      </c>
      <c r="C6" s="17" t="n">
        <v>40000</v>
      </c>
      <c r="D6" s="12" t="n"/>
      <c r="E6" s="18">
        <f>IF(OR(A6="",B6=""),"",SUMPRODUCT((NHAP_LIEU!$C$5:$C$10004=B6)*(NHAP_LIEU!$A$5:$A$10004&gt;=DATE(YEAR(A6),MONTH(A6),1))*(NHAP_LIEU!$A$5:$A$10004&lt;DATE(YEAR(A6),MONTH(A6)+1,1))*NHAP_LIEU!$H$5:$S$10004))</f>
        <v/>
      </c>
      <c r="F6" s="20">
        <f>IF(OR(E6="",C6=""),"",E6-C6)</f>
        <v/>
      </c>
      <c r="G6" s="19">
        <f>IF(OR(E6="",N(C6)=0),"",E6/C6)</f>
        <v/>
      </c>
      <c r="H6" s="18">
        <f>IF(OR(E6="",C6=""),"",MAX(0,C6-E6))</f>
        <v/>
      </c>
      <c r="I6" s="18">
        <f>IF(OR(A6="",B6=""),"",SUMPRODUCT((NHAP_LIEU!$C$5:$C$10004=B6)*(NHAP_LIEU!$A$5:$A$10004&gt;=DATE(YEAR(A6),MONTH(A6),1))*(NHAP_LIEU!$A$5:$A$10004&lt;DATE(YEAR(A6),MONTH(A6)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J6" s="20">
        <f>IF(I6="","",E6-I6)</f>
        <v/>
      </c>
      <c r="K6" s="18">
        <f>IF(OR(A6="",B6=""),"",SUMIFS($H$5:$H$2004,$B$5:$B$2004,B6,$A$5:$A$2004,"&gt;="&amp;DATE(YEAR(A6),MONTH(A6)-1,1),$A$5:$A$2004,"&lt;"&amp;DATE(YEAR(A6),MONTH(A6),1)))</f>
        <v/>
      </c>
      <c r="L6" s="21">
        <f>IF(A6="","",MAX(0,NETWORKDAYS.INTL(DATE(YEAR(A6),MONTH(A6),1),EOMONTH(A6,0),11)-SUMPRODUCT((LICH_LAM_VIEC!$A$5:$A$1000&gt;=DATE(YEAR(A6),MONTH(A6),1))*(LICH_LAM_VIEC!$A$5:$A$1000&lt;=EOMONTH(A6,0))*(LICH_LAM_VIEC!$B$5:$B$1000="Nghỉ")*(WEEKDAY(LICH_LAM_VIEC!$A$5:$A$1000)&lt;&gt;1))+SUMPRODUCT((LICH_LAM_VIEC!$A$5:$A$1000&gt;=DATE(YEAR(A6),MONTH(A6),1))*(LICH_LAM_VIEC!$A$5:$A$1000&lt;=EOMONTH(A6,0))*(LICH_LAM_VIEC!$B$5:$B$1000="Làm bù")*(WEEKDAY(LICH_LAM_VIEC!$A$5:$A$1000)=1))))</f>
        <v/>
      </c>
      <c r="M6" s="18">
        <f>IF(OR(N(L6)=0,C6=""),"",ROUNDUP(C6/L6,0))</f>
        <v/>
      </c>
    </row>
    <row r="7">
      <c r="A7" s="27" t="n">
        <v>46266</v>
      </c>
      <c r="B7" s="11" t="inlineStr">
        <is>
          <t>883</t>
        </is>
      </c>
      <c r="C7" s="17" t="n">
        <v>50000</v>
      </c>
      <c r="D7" s="12" t="n"/>
      <c r="E7" s="18">
        <f>IF(OR(A7="",B7=""),"",SUMPRODUCT((NHAP_LIEU!$C$5:$C$10004=B7)*(NHAP_LIEU!$A$5:$A$10004&gt;=DATE(YEAR(A7),MONTH(A7),1))*(NHAP_LIEU!$A$5:$A$10004&lt;DATE(YEAR(A7),MONTH(A7)+1,1))*NHAP_LIEU!$H$5:$S$10004))</f>
        <v/>
      </c>
      <c r="F7" s="20">
        <f>IF(OR(E7="",C7=""),"",E7-C7)</f>
        <v/>
      </c>
      <c r="G7" s="19">
        <f>IF(OR(E7="",N(C7)=0),"",E7/C7)</f>
        <v/>
      </c>
      <c r="H7" s="18">
        <f>IF(OR(E7="",C7=""),"",MAX(0,C7-E7))</f>
        <v/>
      </c>
      <c r="I7" s="18">
        <f>IF(OR(A7="",B7=""),"",SUMPRODUCT((NHAP_LIEU!$C$5:$C$10004=B7)*(NHAP_LIEU!$A$5:$A$10004&gt;=DATE(YEAR(A7),MONTH(A7),1))*(NHAP_LIEU!$A$5:$A$10004&lt;DATE(YEAR(A7),MONTH(A7)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J7" s="20">
        <f>IF(I7="","",E7-I7)</f>
        <v/>
      </c>
      <c r="K7" s="18">
        <f>IF(OR(A7="",B7=""),"",SUMIFS($H$5:$H$2004,$B$5:$B$2004,B7,$A$5:$A$2004,"&gt;="&amp;DATE(YEAR(A7),MONTH(A7)-1,1),$A$5:$A$2004,"&lt;"&amp;DATE(YEAR(A7),MONTH(A7),1)))</f>
        <v/>
      </c>
      <c r="L7" s="21">
        <f>IF(A7="","",MAX(0,NETWORKDAYS.INTL(DATE(YEAR(A7),MONTH(A7),1),EOMONTH(A7,0),11)-SUMPRODUCT((LICH_LAM_VIEC!$A$5:$A$1000&gt;=DATE(YEAR(A7),MONTH(A7),1))*(LICH_LAM_VIEC!$A$5:$A$1000&lt;=EOMONTH(A7,0))*(LICH_LAM_VIEC!$B$5:$B$1000="Nghỉ")*(WEEKDAY(LICH_LAM_VIEC!$A$5:$A$1000)&lt;&gt;1))+SUMPRODUCT((LICH_LAM_VIEC!$A$5:$A$1000&gt;=DATE(YEAR(A7),MONTH(A7),1))*(LICH_LAM_VIEC!$A$5:$A$1000&lt;=EOMONTH(A7,0))*(LICH_LAM_VIEC!$B$5:$B$1000="Làm bù")*(WEEKDAY(LICH_LAM_VIEC!$A$5:$A$1000)=1))))</f>
        <v/>
      </c>
      <c r="M7" s="18">
        <f>IF(OR(N(L7)=0,C7=""),"",ROUNDUP(C7/L7,0))</f>
        <v/>
      </c>
    </row>
    <row r="8">
      <c r="A8" s="27" t="n">
        <v>46266</v>
      </c>
      <c r="B8" s="11" t="inlineStr">
        <is>
          <t>567</t>
        </is>
      </c>
      <c r="C8" s="17" t="n">
        <v>100000</v>
      </c>
      <c r="D8" s="12" t="inlineStr">
        <is>
          <t>Test</t>
        </is>
      </c>
      <c r="E8" s="18">
        <f>IF(OR(A8="",B8=""),"",SUMPRODUCT((NHAP_LIEU!$C$5:$C$10004=B8)*(NHAP_LIEU!$A$5:$A$10004&gt;=DATE(YEAR(A8),MONTH(A8),1))*(NHAP_LIEU!$A$5:$A$10004&lt;DATE(YEAR(A8),MONTH(A8)+1,1))*NHAP_LIEU!$H$5:$S$10004))</f>
        <v/>
      </c>
      <c r="F8" s="20">
        <f>IF(OR(E8="",C8=""),"",E8-C8)</f>
        <v/>
      </c>
      <c r="G8" s="19">
        <f>IF(OR(E8="",N(C8)=0),"",E8/C8)</f>
        <v/>
      </c>
      <c r="H8" s="18">
        <f>IF(OR(E8="",C8=""),"",MAX(0,C8-E8))</f>
        <v/>
      </c>
      <c r="I8" s="18">
        <f>IF(OR(A8="",B8=""),"",SUMPRODUCT((NHAP_LIEU!$C$5:$C$10004=B8)*(NHAP_LIEU!$A$5:$A$10004&gt;=DATE(YEAR(A8),MONTH(A8),1))*(NHAP_LIEU!$A$5:$A$10004&lt;DATE(YEAR(A8),MONTH(A8)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J8" s="20">
        <f>IF(I8="","",E8-I8)</f>
        <v/>
      </c>
      <c r="K8" s="18">
        <f>IF(OR(A8="",B8=""),"",SUMIFS($H$5:$H$2004,$B$5:$B$2004,B8,$A$5:$A$2004,"&gt;="&amp;DATE(YEAR(A8),MONTH(A8)-1,1),$A$5:$A$2004,"&lt;"&amp;DATE(YEAR(A8),MONTH(A8),1)))</f>
        <v/>
      </c>
      <c r="L8" s="21">
        <f>IF(A8="","",MAX(0,NETWORKDAYS.INTL(DATE(YEAR(A8),MONTH(A8),1),EOMONTH(A8,0),11)-SUMPRODUCT((LICH_LAM_VIEC!$A$5:$A$1000&gt;=DATE(YEAR(A8),MONTH(A8),1))*(LICH_LAM_VIEC!$A$5:$A$1000&lt;=EOMONTH(A8,0))*(LICH_LAM_VIEC!$B$5:$B$1000="Nghỉ")*(WEEKDAY(LICH_LAM_VIEC!$A$5:$A$1000)&lt;&gt;1))+SUMPRODUCT((LICH_LAM_VIEC!$A$5:$A$1000&gt;=DATE(YEAR(A8),MONTH(A8),1))*(LICH_LAM_VIEC!$A$5:$A$1000&lt;=EOMONTH(A8,0))*(LICH_LAM_VIEC!$B$5:$B$1000="Làm bù")*(WEEKDAY(LICH_LAM_VIEC!$A$5:$A$1000)=1))))</f>
        <v/>
      </c>
      <c r="M8" s="18">
        <f>IF(OR(N(L8)=0,C8=""),"",ROUNDUP(C8/L8,0))</f>
        <v/>
      </c>
    </row>
  </sheetData>
  <mergeCells count="1">
    <mergeCell ref="A1:H1"/>
  </mergeCells>
  <conditionalFormatting sqref="G5:G8">
    <cfRule type="expression" priority="1" dxfId="2">
      <formula>AND(ISNUMBER(G5),G5&lt;1)</formula>
    </cfRule>
  </conditionalFormatting>
  <dataValidations count="1">
    <dataValidation sqref="B5:B8" showDropDown="0" showInputMessage="0" showErrorMessage="1" allowBlank="1" errorTitle="Sai dữ liệu" error="Mã sản phẩm phải có trong sheet DANH_SACH_SAN_PHAM." type="list">
      <formula1>DS_MA_SAN_PHAM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9" customWidth="1" min="4" max="4"/>
    <col width="8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12" customWidth="1" min="16" max="16"/>
    <col width="13" customWidth="1" min="17" max="17"/>
    <col width="14" customWidth="1" min="18" max="18"/>
    <col width="11" customWidth="1" min="19" max="19"/>
    <col width="12" customWidth="1" min="20" max="20"/>
    <col width="1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2" customWidth="1" min="34" max="34"/>
    <col width="20" customWidth="1" min="35" max="35"/>
    <col width="10" customWidth="1" min="36" max="36"/>
    <col width="10" customWidth="1" min="37" max="37"/>
    <col width="13" customWidth="1" min="38" max="38"/>
    <col width="11" customWidth="1" min="39" max="39"/>
    <col width="14" customWidth="1" min="40" max="40"/>
    <col width="10" customWidth="1" min="41" max="41"/>
    <col width="11" customWidth="1" min="42" max="42"/>
    <col width="10" customWidth="1" min="43" max="43"/>
    <col width="10" customWidth="1" min="44" max="44"/>
    <col width="20" customWidth="1" min="45" max="45"/>
    <col width="10" customWidth="1" min="46" max="46"/>
  </cols>
  <sheetData>
    <row r="1" ht="28" customHeight="1">
      <c r="A1" s="6" t="inlineStr">
        <is>
          <t>電視顯示 / BẢNG HIỂN THỊ TV</t>
        </is>
      </c>
      <c r="G1" s="28" t="inlineStr">
        <is>
          <t>CHỌN NGÀY (để trống = ngày mới nhất):</t>
        </is>
      </c>
      <c r="J1" s="29" t="n"/>
      <c r="K1" s="28" t="inlineStr">
        <is>
          <t>ĐANG HIỂN THỊ:</t>
        </is>
      </c>
      <c r="M1" s="30">
        <f>IF(J1&lt;&gt;"",J1,MAX(NHAP_LIEU!$A$5:$A$10004))</f>
        <v/>
      </c>
    </row>
    <row r="2" ht="28" customHeight="1">
      <c r="A2" s="7" t="inlineStr">
        <is>
          <t>日期</t>
        </is>
      </c>
      <c r="B2" s="7" t="inlineStr">
        <is>
          <t>產線</t>
        </is>
      </c>
      <c r="C2" s="7" t="inlineStr">
        <is>
          <t>产品代码</t>
        </is>
      </c>
      <c r="D2" s="7" t="inlineStr">
        <is>
          <t>工作時間</t>
        </is>
      </c>
      <c r="E2" s="7" t="inlineStr">
        <is>
          <t>總工時</t>
        </is>
      </c>
      <c r="F2" s="7" t="inlineStr">
        <is>
          <t>每小时目标产量PCS</t>
        </is>
      </c>
      <c r="G2" s="7" t="inlineStr">
        <is>
          <t>每日目标产量PCS</t>
        </is>
      </c>
      <c r="H2" s="7" t="inlineStr">
        <is>
          <t>每日实际产量PCS</t>
        </is>
      </c>
      <c r="I2" s="7" t="inlineStr">
        <is>
          <t>当日达成率%</t>
        </is>
      </c>
      <c r="J2" s="7" t="inlineStr">
        <is>
          <t>差異PCS</t>
        </is>
      </c>
      <c r="K2" s="7" t="inlineStr">
        <is>
          <t>剩餘PCS</t>
        </is>
      </c>
      <c r="L2" s="7" t="inlineStr">
        <is>
          <t>已輸入小時數</t>
        </is>
      </c>
      <c r="M2" s="7" t="inlineStr">
        <is>
          <t>累計目標PCS</t>
        </is>
      </c>
      <c r="N2" s="7" t="inlineStr">
        <is>
          <t>進度達成率%</t>
        </is>
      </c>
      <c r="O2" s="7" t="inlineStr">
        <is>
          <t>前一工作日</t>
        </is>
      </c>
      <c r="P2" s="7" t="inlineStr">
        <is>
          <t>前一日欠數PCS</t>
        </is>
      </c>
      <c r="Q2" s="7" t="inlineStr">
        <is>
          <t>当月总目标产量PCS</t>
        </is>
      </c>
      <c r="R2" s="7" t="inlineStr">
        <is>
          <t>当月累计产能PCS</t>
        </is>
      </c>
      <c r="S2" s="7" t="inlineStr">
        <is>
          <t>当月总达成率</t>
        </is>
      </c>
      <c r="T2" s="7" t="inlineStr">
        <is>
          <t>剩餘PCS</t>
        </is>
      </c>
      <c r="U2" s="7" t="inlineStr">
        <is>
          <t>本線當月累計PCS</t>
        </is>
      </c>
      <c r="V2" s="7" t="inlineStr">
        <is>
          <t>第1小時</t>
        </is>
      </c>
      <c r="W2" s="7" t="inlineStr">
        <is>
          <t>第2小時</t>
        </is>
      </c>
      <c r="X2" s="7" t="inlineStr">
        <is>
          <t>第3小時</t>
        </is>
      </c>
      <c r="Y2" s="7" t="inlineStr">
        <is>
          <t>第4小時</t>
        </is>
      </c>
      <c r="Z2" s="7" t="inlineStr">
        <is>
          <t>第5小時</t>
        </is>
      </c>
      <c r="AA2" s="7" t="inlineStr">
        <is>
          <t>第6小時</t>
        </is>
      </c>
      <c r="AB2" s="7" t="inlineStr">
        <is>
          <t>第7小時</t>
        </is>
      </c>
      <c r="AC2" s="7" t="inlineStr">
        <is>
          <t>第8小時</t>
        </is>
      </c>
      <c r="AD2" s="7" t="inlineStr">
        <is>
          <t>第9小時</t>
        </is>
      </c>
      <c r="AE2" s="7" t="inlineStr">
        <is>
          <t>第10小時</t>
        </is>
      </c>
      <c r="AF2" s="7" t="inlineStr">
        <is>
          <t>第11小時</t>
        </is>
      </c>
      <c r="AG2" s="7" t="inlineStr">
        <is>
          <t>第12小時</t>
        </is>
      </c>
      <c r="AH2" s="7" t="inlineStr">
        <is>
          <t>狀態</t>
        </is>
      </c>
      <c r="AI2" s="7" t="inlineStr">
        <is>
          <t>備註</t>
        </is>
      </c>
      <c r="AJ2" s="7" t="inlineStr">
        <is>
          <t>索引</t>
        </is>
      </c>
      <c r="AK2" s="7" t="inlineStr">
        <is>
          <t>前一日索引</t>
        </is>
      </c>
      <c r="AL2" s="7" t="inlineStr">
        <is>
          <t>上月欠數PCS</t>
        </is>
      </c>
      <c r="AM2" s="7" t="inlineStr">
        <is>
          <t>剩餘工作天數</t>
        </is>
      </c>
      <c r="AN2" s="7" t="inlineStr">
        <is>
          <t>每日需產量PCS</t>
        </is>
      </c>
      <c r="AO2" s="7" t="inlineStr">
        <is>
          <t>工人數</t>
        </is>
      </c>
      <c r="AP2" s="7" t="inlineStr">
        <is>
          <t>人均每小時產量</t>
        </is>
      </c>
      <c r="AQ2" s="7" t="inlineStr">
        <is>
          <t>不良數PCS</t>
        </is>
      </c>
      <c r="AR2" s="7" t="inlineStr">
        <is>
          <t>不良率%</t>
        </is>
      </c>
      <c r="AS2" s="7" t="inlineStr">
        <is>
          <t>未達原因</t>
        </is>
      </c>
      <c r="AT2" s="7" t="inlineStr">
        <is>
          <t>停機分鐘</t>
        </is>
      </c>
    </row>
    <row r="3" ht="38" customHeight="1">
      <c r="A3" s="9" t="inlineStr">
        <is>
          <t>NGÀY</t>
        </is>
      </c>
      <c r="B3" s="9" t="inlineStr">
        <is>
          <t>CHUYỀN</t>
        </is>
      </c>
      <c r="C3" s="9" t="inlineStr">
        <is>
          <t>MÃ SẢN PHẨM</t>
        </is>
      </c>
      <c r="D3" s="9" t="inlineStr">
        <is>
          <t>MÃ CA</t>
        </is>
      </c>
      <c r="E3" s="9" t="inlineStr">
        <is>
          <t>GIỜ CA</t>
        </is>
      </c>
      <c r="F3" s="9" t="inlineStr">
        <is>
          <t>MỤC TIÊU MỖI GIỜ</t>
        </is>
      </c>
      <c r="G3" s="9" t="inlineStr">
        <is>
          <t>MỤC TIÊU TRONG NGÀY</t>
        </is>
      </c>
      <c r="H3" s="9" t="inlineStr">
        <is>
          <t>THỰC TẾ TRONG NGÀY</t>
        </is>
      </c>
      <c r="I3" s="9" t="inlineStr">
        <is>
          <t>TỶ LỆ ĐẠT TRONG NGÀY</t>
        </is>
      </c>
      <c r="J3" s="9" t="inlineStr">
        <is>
          <t>CHÊNH LỆCH</t>
        </is>
      </c>
      <c r="K3" s="9" t="inlineStr">
        <is>
          <t>CÒN THIẾU</t>
        </is>
      </c>
      <c r="L3" s="9" t="inlineStr">
        <is>
          <t>SỐ GIỜ ĐÃ NHẬP</t>
        </is>
      </c>
      <c r="M3" s="9" t="inlineStr">
        <is>
          <t>MỤC TIÊU ĐẾN GIỜ ĐÃ NHẬP</t>
        </is>
      </c>
      <c r="N3" s="9" t="inlineStr">
        <is>
          <t>TIẾN ĐỘ THEO GIỜ</t>
        </is>
      </c>
      <c r="O3" s="9" t="inlineStr">
        <is>
          <t>NGÀY LÀM TRƯỚC</t>
        </is>
      </c>
      <c r="P3" s="9" t="inlineStr">
        <is>
          <t>THIẾU HÔM TRƯỚC</t>
        </is>
      </c>
      <c r="Q3" s="9" t="inlineStr">
        <is>
          <t>MỤC TIÊU THÁNG (SẢN PHẨM)</t>
        </is>
      </c>
      <c r="R3" s="9" t="inlineStr">
        <is>
          <t>LŨY KẾ THÁNG (SẢN PHẨM, đến ngày này)</t>
        </is>
      </c>
      <c r="S3" s="9" t="inlineStr">
        <is>
          <t>TỶ LỆ ĐẠT THÁNG</t>
        </is>
      </c>
      <c r="T3" s="9" t="inlineStr">
        <is>
          <t>CÒN THIẾU THÁNG</t>
        </is>
      </c>
      <c r="U3" s="9" t="inlineStr">
        <is>
          <t>LŨY KẾ THÁNG CỦA CHUYỀN</t>
        </is>
      </c>
      <c r="V3" s="9" t="inlineStr">
        <is>
          <t>GIỜ 1</t>
        </is>
      </c>
      <c r="W3" s="9" t="inlineStr">
        <is>
          <t>GIỜ 2</t>
        </is>
      </c>
      <c r="X3" s="9" t="inlineStr">
        <is>
          <t>GIỜ 3</t>
        </is>
      </c>
      <c r="Y3" s="9" t="inlineStr">
        <is>
          <t>GIỜ 4</t>
        </is>
      </c>
      <c r="Z3" s="9" t="inlineStr">
        <is>
          <t>GIỜ 5</t>
        </is>
      </c>
      <c r="AA3" s="9" t="inlineStr">
        <is>
          <t>GIỜ 6</t>
        </is>
      </c>
      <c r="AB3" s="9" t="inlineStr">
        <is>
          <t>GIỜ 7</t>
        </is>
      </c>
      <c r="AC3" s="9" t="inlineStr">
        <is>
          <t>GIỜ 8</t>
        </is>
      </c>
      <c r="AD3" s="9" t="inlineStr">
        <is>
          <t>GIỜ 9</t>
        </is>
      </c>
      <c r="AE3" s="9" t="inlineStr">
        <is>
          <t>GIỜ 10</t>
        </is>
      </c>
      <c r="AF3" s="9" t="inlineStr">
        <is>
          <t>GIỜ 11</t>
        </is>
      </c>
      <c r="AG3" s="9" t="inlineStr">
        <is>
          <t>GIỜ 12</t>
        </is>
      </c>
      <c r="AH3" s="9" t="inlineStr">
        <is>
          <t>TRẠNG THÁI</t>
        </is>
      </c>
      <c r="AI3" s="9" t="inlineStr">
        <is>
          <t>GHI CHÚ</t>
        </is>
      </c>
      <c r="AJ3" s="9" t="inlineStr">
        <is>
          <t>DÒNG NHẬP LIỆU (máy dùng)</t>
        </is>
      </c>
      <c r="AK3" s="9" t="inlineStr">
        <is>
          <t>DÒNG NGÀY TRƯỚC (máy dùng)</t>
        </is>
      </c>
      <c r="AL3" s="9" t="inlineStr">
        <is>
          <t>THIẾU THÁNG TRƯỚC (SẢN PHẨM)</t>
        </is>
      </c>
      <c r="AM3" s="9" t="inlineStr">
        <is>
          <t>NGÀY LÀM VIỆC CÒN LẠI (tính cả ngày này)</t>
        </is>
      </c>
      <c r="AN3" s="9" t="inlineStr">
        <is>
          <t>CẦN LÀM MỖI NGÀY ĐỂ KỊP THÁNG (SẢN PHẨM)</t>
        </is>
      </c>
      <c r="AO3" s="9" t="inlineStr">
        <is>
          <t>SỐ CÔNG NHÂN</t>
        </is>
      </c>
      <c r="AP3" s="9" t="inlineStr">
        <is>
          <t>SP / NGƯỜI / GIỜ</t>
        </is>
      </c>
      <c r="AQ3" s="9" t="inlineStr">
        <is>
          <t>SỐ LỖI</t>
        </is>
      </c>
      <c r="AR3" s="9" t="inlineStr">
        <is>
          <t>TỶ LỆ LỖI</t>
        </is>
      </c>
      <c r="AS3" s="9" t="inlineStr">
        <is>
          <t>LÝ DO KHÔNG ĐẠT</t>
        </is>
      </c>
      <c r="AT3" s="9" t="inlineStr">
        <is>
          <t>PHÚT DỪNG MÁY</t>
        </is>
      </c>
    </row>
    <row r="4">
      <c r="A4" s="10" t="inlineStr">
        <is>
          <t>1</t>
        </is>
      </c>
      <c r="B4" s="10" t="inlineStr">
        <is>
          <t>2</t>
        </is>
      </c>
      <c r="C4" s="10" t="inlineStr">
        <is>
          <t>3</t>
        </is>
      </c>
      <c r="D4" s="10" t="inlineStr">
        <is>
          <t>4</t>
        </is>
      </c>
      <c r="E4" s="10" t="inlineStr">
        <is>
          <t>5</t>
        </is>
      </c>
      <c r="F4" s="10" t="inlineStr">
        <is>
          <t>6</t>
        </is>
      </c>
      <c r="G4" s="10" t="inlineStr">
        <is>
          <t>7</t>
        </is>
      </c>
      <c r="H4" s="10" t="inlineStr">
        <is>
          <t>8</t>
        </is>
      </c>
      <c r="I4" s="10" t="inlineStr">
        <is>
          <t>9</t>
        </is>
      </c>
      <c r="J4" s="10" t="inlineStr">
        <is>
          <t>10</t>
        </is>
      </c>
      <c r="K4" s="10" t="inlineStr">
        <is>
          <t>11</t>
        </is>
      </c>
      <c r="L4" s="10" t="inlineStr">
        <is>
          <t>12</t>
        </is>
      </c>
      <c r="M4" s="10" t="inlineStr">
        <is>
          <t>13</t>
        </is>
      </c>
      <c r="N4" s="10" t="inlineStr">
        <is>
          <t>14</t>
        </is>
      </c>
      <c r="O4" s="10" t="inlineStr">
        <is>
          <t>15</t>
        </is>
      </c>
      <c r="P4" s="10" t="inlineStr">
        <is>
          <t>16</t>
        </is>
      </c>
      <c r="Q4" s="10" t="inlineStr">
        <is>
          <t>17</t>
        </is>
      </c>
      <c r="R4" s="10" t="inlineStr">
        <is>
          <t>18</t>
        </is>
      </c>
      <c r="S4" s="10" t="inlineStr">
        <is>
          <t>19</t>
        </is>
      </c>
      <c r="T4" s="10" t="inlineStr">
        <is>
          <t>20</t>
        </is>
      </c>
      <c r="U4" s="10" t="inlineStr">
        <is>
          <t>21</t>
        </is>
      </c>
      <c r="V4" s="10" t="inlineStr">
        <is>
          <t>22</t>
        </is>
      </c>
      <c r="W4" s="10" t="inlineStr">
        <is>
          <t>23</t>
        </is>
      </c>
      <c r="X4" s="10" t="inlineStr">
        <is>
          <t>24</t>
        </is>
      </c>
      <c r="Y4" s="10" t="inlineStr">
        <is>
          <t>25</t>
        </is>
      </c>
      <c r="Z4" s="10" t="inlineStr">
        <is>
          <t>26</t>
        </is>
      </c>
      <c r="AA4" s="10" t="inlineStr">
        <is>
          <t>27</t>
        </is>
      </c>
      <c r="AB4" s="10" t="inlineStr">
        <is>
          <t>28</t>
        </is>
      </c>
      <c r="AC4" s="10" t="inlineStr">
        <is>
          <t>29</t>
        </is>
      </c>
      <c r="AD4" s="10" t="inlineStr">
        <is>
          <t>30</t>
        </is>
      </c>
      <c r="AE4" s="10" t="inlineStr">
        <is>
          <t>31</t>
        </is>
      </c>
      <c r="AF4" s="10" t="inlineStr">
        <is>
          <t>32</t>
        </is>
      </c>
      <c r="AG4" s="10" t="inlineStr">
        <is>
          <t>33</t>
        </is>
      </c>
      <c r="AH4" s="10" t="inlineStr">
        <is>
          <t>34</t>
        </is>
      </c>
      <c r="AI4" s="10" t="inlineStr">
        <is>
          <t>35</t>
        </is>
      </c>
      <c r="AJ4" s="10" t="inlineStr">
        <is>
          <t>36</t>
        </is>
      </c>
      <c r="AK4" s="10" t="inlineStr">
        <is>
          <t>37</t>
        </is>
      </c>
      <c r="AL4" s="10" t="inlineStr">
        <is>
          <t>38</t>
        </is>
      </c>
      <c r="AM4" s="10" t="inlineStr">
        <is>
          <t>39</t>
        </is>
      </c>
      <c r="AN4" s="10" t="inlineStr">
        <is>
          <t>40</t>
        </is>
      </c>
      <c r="AO4" s="10" t="inlineStr">
        <is>
          <t>41</t>
        </is>
      </c>
      <c r="AP4" s="10" t="inlineStr">
        <is>
          <t>42</t>
        </is>
      </c>
      <c r="AQ4" s="10" t="inlineStr">
        <is>
          <t>43</t>
        </is>
      </c>
      <c r="AR4" s="10" t="inlineStr">
        <is>
          <t>44</t>
        </is>
      </c>
      <c r="AS4" s="10" t="inlineStr">
        <is>
          <t>45</t>
        </is>
      </c>
      <c r="AT4" s="10" t="inlineStr">
        <is>
          <t>46</t>
        </is>
      </c>
    </row>
    <row r="5">
      <c r="A5" s="31">
        <f>IF(B5="","",$M$1)</f>
        <v/>
      </c>
      <c r="B5" s="16">
        <f>IF(DANH_SACH_CHUYEN!B5="","",DANH_SACH_CHUYEN!B5)</f>
        <v/>
      </c>
      <c r="C5" s="26">
        <f>IF($AJ5="","",IF(INDEX(NHAP_LIEU!$C$5:$C$10004,$AJ5)="","",INDEX(NHAP_LIEU!$C$5:$C$10004,$AJ5)))</f>
        <v/>
      </c>
      <c r="D5" s="16">
        <f>IF($AJ5="","",IF(INDEX(NHAP_LIEU!$D$5:$D$10004,$AJ5)="","",INDEX(NHAP_LIEU!$D$5:$D$10004,$AJ5)))</f>
        <v/>
      </c>
      <c r="E5" s="13">
        <f>IF(D5="","",IFERROR(INDEX(CAU_HINH_CA!$C$5:$C$50,MATCH(D5,CAU_HINH_CA!$A$5:$A$50,0)),""))</f>
        <v/>
      </c>
      <c r="F5" s="18">
        <f>IF($AJ5="","",IF(INDEX(NHAP_LIEU!$E$5:$E$10004,$AJ5)="","",INDEX(NHAP_LIEU!$E$5:$E$10004,$AJ5)))</f>
        <v/>
      </c>
      <c r="G5" s="18">
        <f>IF(OR(E5="",F5=""),"",ROUND(E5*F5,0))</f>
        <v/>
      </c>
      <c r="H5" s="18">
        <f>IF(COUNT(V5:AG5)=0,"",SUM(V5:AG5))</f>
        <v/>
      </c>
      <c r="I5" s="19">
        <f>IF(OR(H5="",N(G5)=0),"",H5/G5)</f>
        <v/>
      </c>
      <c r="J5" s="20">
        <f>IF(OR(H5="",G5=""),"",H5-G5)</f>
        <v/>
      </c>
      <c r="K5" s="18">
        <f>IF(OR(H5="",G5=""),"",MAX(0,G5-H5))</f>
        <v/>
      </c>
      <c r="L5" s="21">
        <f>IF(AJ5="","",COUNT(V5:AG5))</f>
        <v/>
      </c>
      <c r="M5" s="18">
        <f>IF(OR(L5="",F5="",G5=""),"",MIN(G5,L5*F5))</f>
        <v/>
      </c>
      <c r="N5" s="19">
        <f>IF(OR(H5="",N(M5)=0),"",H5/M5)</f>
        <v/>
      </c>
      <c r="O5" s="22">
        <f>IF(OR(B5="",A5=""),"",IF(SUMPRODUCT(MAX((NHAP_LIEU!$B$5:$B$10004=B5)*(NHAP_LIEU!$A$5:$A$10004&lt;A5)*NHAP_LIEU!$A$5:$A$10004))=0,"",SUMPRODUCT(MAX((NHAP_LIEU!$B$5:$B$10004=B5)*(NHAP_LIEU!$A$5:$A$10004&lt;A5)*NHAP_LIEU!$A$5:$A$10004))))</f>
        <v/>
      </c>
      <c r="P5" s="18">
        <f>IF(AK5="","",IF(COUNT(INDEX(NHAP_LIEU!$H$5:$S$10004,AK5,0))=0,0,MAX(0,IFERROR(ROUND(INDEX(CAU_HINH_CA!$C$5:$C$50,MATCH(INDEX(NHAP_LIEU!$D$5:$D$10004,AK5),CAU_HINH_CA!$A$5:$A$50,0))*INDEX(NHAP_LIEU!$E$5:$E$10004,AK5),0),0)-SUM(INDEX(NHAP_LIEU!$H$5:$S$10004,AK5,0)))))</f>
        <v/>
      </c>
      <c r="Q5" s="18">
        <f>IF(C5="","",SUMIFS(MUC_TIEU_THANG!$C$5:$C$2004,MUC_TIEU_THANG!$B$5:$B$2004,C5,MUC_TIEU_THANG!$A$5:$A$2004,"&gt;="&amp;DATE(YEAR(A5),MONTH(A5),1),MUC_TIEU_THANG!$A$5:$A$2004,"&lt;"&amp;DATE(YEAR(A5),MONTH(A5)+1,1)))</f>
        <v/>
      </c>
      <c r="R5" s="18">
        <f>IF(C5="","",SUMPRODUCT((NHAP_LIEU!$C$5:$C$10004=C5)*(NHAP_LIEU!$A$5:$A$10004&gt;=DATE(YEAR(A5),MONTH(A5),1))*(NHAP_LIEU!$A$5:$A$10004&lt;=A5)*NHAP_LIEU!$H$5:$S$10004))</f>
        <v/>
      </c>
      <c r="S5" s="19">
        <f>IF(OR(R5="",N(Q5)=0),"",R5/Q5)</f>
        <v/>
      </c>
      <c r="T5" s="18">
        <f>IF(OR(R5="",N(Q5)=0),"",MAX(0,Q5-R5))</f>
        <v/>
      </c>
      <c r="U5" s="18">
        <f>IF(B5="","",SUMPRODUCT((NHAP_LIEU!$B$5:$B$10004=B5)*(NHAP_LIEU!$A$5:$A$10004&gt;=DATE(YEAR(A5),MONTH(A5),1))*(NHAP_LIEU!$A$5:$A$10004&lt;=A5)*NHAP_LIEU!$H$5:$S$10004))</f>
        <v/>
      </c>
      <c r="V5" s="18">
        <f>IF($AJ5="","",IF(INDEX(NHAP_LIEU!$H$5:$H$10004,$AJ5)="","",INDEX(NHAP_LIEU!$H$5:$H$10004,$AJ5)))</f>
        <v/>
      </c>
      <c r="W5" s="18">
        <f>IF($AJ5="","",IF(INDEX(NHAP_LIEU!$I$5:$I$10004,$AJ5)="","",INDEX(NHAP_LIEU!$I$5:$I$10004,$AJ5)))</f>
        <v/>
      </c>
      <c r="X5" s="18">
        <f>IF($AJ5="","",IF(INDEX(NHAP_LIEU!$J$5:$J$10004,$AJ5)="","",INDEX(NHAP_LIEU!$J$5:$J$10004,$AJ5)))</f>
        <v/>
      </c>
      <c r="Y5" s="18">
        <f>IF($AJ5="","",IF(INDEX(NHAP_LIEU!$K$5:$K$10004,$AJ5)="","",INDEX(NHAP_LIEU!$K$5:$K$10004,$AJ5)))</f>
        <v/>
      </c>
      <c r="Z5" s="18">
        <f>IF($AJ5="","",IF(INDEX(NHAP_LIEU!$L$5:$L$10004,$AJ5)="","",INDEX(NHAP_LIEU!$L$5:$L$10004,$AJ5)))</f>
        <v/>
      </c>
      <c r="AA5" s="18">
        <f>IF($AJ5="","",IF(INDEX(NHAP_LIEU!$M$5:$M$10004,$AJ5)="","",INDEX(NHAP_LIEU!$M$5:$M$10004,$AJ5)))</f>
        <v/>
      </c>
      <c r="AB5" s="18">
        <f>IF($AJ5="","",IF(INDEX(NHAP_LIEU!$N$5:$N$10004,$AJ5)="","",INDEX(NHAP_LIEU!$N$5:$N$10004,$AJ5)))</f>
        <v/>
      </c>
      <c r="AC5" s="18">
        <f>IF($AJ5="","",IF(INDEX(NHAP_LIEU!$O$5:$O$10004,$AJ5)="","",INDEX(NHAP_LIEU!$O$5:$O$10004,$AJ5)))</f>
        <v/>
      </c>
      <c r="AD5" s="18">
        <f>IF($AJ5="","",IF(INDEX(NHAP_LIEU!$P$5:$P$10004,$AJ5)="","",INDEX(NHAP_LIEU!$P$5:$P$10004,$AJ5)))</f>
        <v/>
      </c>
      <c r="AE5" s="18">
        <f>IF($AJ5="","",IF(INDEX(NHAP_LIEU!$Q$5:$Q$10004,$AJ5)="","",INDEX(NHAP_LIEU!$Q$5:$Q$10004,$AJ5)))</f>
        <v/>
      </c>
      <c r="AF5" s="18">
        <f>IF($AJ5="","",IF(INDEX(NHAP_LIEU!$R$5:$R$10004,$AJ5)="","",INDEX(NHAP_LIEU!$R$5:$R$10004,$AJ5)))</f>
        <v/>
      </c>
      <c r="AG5" s="18">
        <f>IF($AJ5="","",IF(INDEX(NHAP_LIEU!$S$5:$S$10004,$AJ5)="","",INDEX(NHAP_LIEU!$S$5:$S$10004,$AJ5)))</f>
        <v/>
      </c>
      <c r="AH5" s="16">
        <f>IF($AJ5="","",IF(INDEX(NHAP_LIEU!$AC$5:$AC$10004,$AJ5)="","",INDEX(NHAP_LIEU!$AC$5:$AC$10004,$AJ5)))</f>
        <v/>
      </c>
      <c r="AI5" s="16">
        <f>IF($AJ5="","",IF(INDEX(NHAP_LIEU!$AD$5:$AD$10004,$AJ5)="","",INDEX(NHAP_LIEU!$AD$5:$AD$10004,$AJ5)))</f>
        <v/>
      </c>
      <c r="AJ5" s="21">
        <f>IF(OR(B5="",A5=""),"",IFERROR(MATCH(1,INDEX((NHAP_LIEU!$A$5:$A$10004=A5)*(NHAP_LIEU!$B$5:$B$10004=B5),0),0),""))</f>
        <v/>
      </c>
      <c r="AK5" s="21">
        <f>IF(O5="","",IFERROR(MATCH(1,INDEX((NHAP_LIEU!$A$5:$A$10004=O5)*(NHAP_LIEU!$B$5:$B$10004=B5),0),0),""))</f>
        <v/>
      </c>
      <c r="AL5" s="18">
        <f>IF(C5="","",SUMIFS(MUC_TIEU_THANG!$K$5:$K$2004,MUC_TIEU_THANG!$B$5:$B$2004,C5,MUC_TIEU_THANG!$A$5:$A$2004,"&gt;="&amp;DATE(YEAR(A5),MONTH(A5),1),MUC_TIEU_THANG!$A$5:$A$2004,"&lt;"&amp;DATE(YEAR(A5),MONTH(A5)+1,1)))</f>
        <v/>
      </c>
      <c r="AM5" s="21">
        <f>IF(A5="","",MAX(0,NETWORKDAYS.INTL(A5,EOMONTH(A5,0),11)-SUMPRODUCT((LICH_LAM_VIEC!$A$5:$A$1000&gt;=A5)*(LICH_LAM_VIEC!$A$5:$A$1000&lt;=EOMONTH(A5,0))*(LICH_LAM_VIEC!$B$5:$B$1000="Nghỉ")*(WEEKDAY(LICH_LAM_VIEC!$A$5:$A$1000)&lt;&gt;1))+SUMPRODUCT((LICH_LAM_VIEC!$A$5:$A$1000&gt;=A5)*(LICH_LAM_VIEC!$A$5:$A$1000&lt;=EOMONTH(A5,0))*(LICH_LAM_VIEC!$B$5:$B$1000="Làm bù")*(WEEKDAY(LICH_LAM_VIEC!$A$5:$A$1000)=1))))</f>
        <v/>
      </c>
      <c r="AN5" s="18">
        <f>IF(OR(C5="",N(Q5)=0,N(AM5)=0),"",ROUNDUP(MAX(0,Q5-SUMPRODUCT((NHAP_LIEU!$C$5:$C$10004=C5)*(NHAP_LIEU!$A$5:$A$10004&gt;=DATE(YEAR(A5),MONTH(A5),1))*(NHAP_LIEU!$A$5:$A$10004&lt;A5)*NHAP_LIEU!$H$5:$S$10004))/AM5,0))</f>
        <v/>
      </c>
      <c r="AO5" s="21">
        <f>IF($AJ5="","",IF(INDEX(NHAP_LIEU!$AG$5:$AG$10004,$AJ5)="","",INDEX(NHAP_LIEU!$AG$5:$AG$10004,$AJ5)))</f>
        <v/>
      </c>
      <c r="AP5" s="24">
        <f>IF(OR(H5="",N(AO5)=0,N(L5)=0),"",H5/(AO5*L5))</f>
        <v/>
      </c>
      <c r="AQ5" s="18">
        <f>IF(OR(B5="",A5="",COUNTIFS(HANG_LOI!$A$5:$A$10004,A5,HANG_LOI!$C$5:$C$10004,B5)=0),"",SUMIFS(HANG_LOI!$F$5:$F$10004,HANG_LOI!$A$5:$A$10004,A5,HANG_LOI!$C$5:$C$10004,B5))</f>
        <v/>
      </c>
      <c r="AR5" s="25">
        <f>IF(OR(AQ5="",N(H5)=0),"",AQ5/H5)</f>
        <v/>
      </c>
      <c r="AS5" s="16">
        <f>IF($AJ5="","",IF(INDEX(NHAP_LIEU!$AI$5:$AI$10004,$AJ5)="","",INDEX(NHAP_LIEU!$AI$5:$AI$10004,$AJ5)))</f>
        <v/>
      </c>
      <c r="AT5" s="21">
        <f>IF($AJ5="","",IF(INDEX(NHAP_LIEU!$AJ$5:$AJ$10004,$AJ5)="","",INDEX(NHAP_LIEU!$AJ$5:$AJ$10004,$AJ5)))</f>
        <v/>
      </c>
    </row>
    <row r="6">
      <c r="A6" s="31">
        <f>IF(B6="","",$M$1)</f>
        <v/>
      </c>
      <c r="B6" s="16">
        <f>IF(DANH_SACH_CHUYEN!B6="","",DANH_SACH_CHUYEN!B6)</f>
        <v/>
      </c>
      <c r="C6" s="26">
        <f>IF($AJ6="","",IF(INDEX(NHAP_LIEU!$C$5:$C$10004,$AJ6)="","",INDEX(NHAP_LIEU!$C$5:$C$10004,$AJ6)))</f>
        <v/>
      </c>
      <c r="D6" s="16">
        <f>IF($AJ6="","",IF(INDEX(NHAP_LIEU!$D$5:$D$10004,$AJ6)="","",INDEX(NHAP_LIEU!$D$5:$D$10004,$AJ6)))</f>
        <v/>
      </c>
      <c r="E6" s="13">
        <f>IF(D6="","",IFERROR(INDEX(CAU_HINH_CA!$C$5:$C$50,MATCH(D6,CAU_HINH_CA!$A$5:$A$50,0)),""))</f>
        <v/>
      </c>
      <c r="F6" s="18">
        <f>IF($AJ6="","",IF(INDEX(NHAP_LIEU!$E$5:$E$10004,$AJ6)="","",INDEX(NHAP_LIEU!$E$5:$E$10004,$AJ6)))</f>
        <v/>
      </c>
      <c r="G6" s="18">
        <f>IF(OR(E6="",F6=""),"",ROUND(E6*F6,0))</f>
        <v/>
      </c>
      <c r="H6" s="18">
        <f>IF(COUNT(V6:AG6)=0,"",SUM(V6:AG6))</f>
        <v/>
      </c>
      <c r="I6" s="19">
        <f>IF(OR(H6="",N(G6)=0),"",H6/G6)</f>
        <v/>
      </c>
      <c r="J6" s="20">
        <f>IF(OR(H6="",G6=""),"",H6-G6)</f>
        <v/>
      </c>
      <c r="K6" s="18">
        <f>IF(OR(H6="",G6=""),"",MAX(0,G6-H6))</f>
        <v/>
      </c>
      <c r="L6" s="21">
        <f>IF(AJ6="","",COUNT(V6:AG6))</f>
        <v/>
      </c>
      <c r="M6" s="18">
        <f>IF(OR(L6="",F6="",G6=""),"",MIN(G6,L6*F6))</f>
        <v/>
      </c>
      <c r="N6" s="19">
        <f>IF(OR(H6="",N(M6)=0),"",H6/M6)</f>
        <v/>
      </c>
      <c r="O6" s="22">
        <f>IF(OR(B6="",A6=""),"",IF(SUMPRODUCT(MAX((NHAP_LIEU!$B$5:$B$10004=B6)*(NHAP_LIEU!$A$5:$A$10004&lt;A6)*NHAP_LIEU!$A$5:$A$10004))=0,"",SUMPRODUCT(MAX((NHAP_LIEU!$B$5:$B$10004=B6)*(NHAP_LIEU!$A$5:$A$10004&lt;A6)*NHAP_LIEU!$A$5:$A$10004))))</f>
        <v/>
      </c>
      <c r="P6" s="18">
        <f>IF(AK6="","",IF(COUNT(INDEX(NHAP_LIEU!$H$5:$S$10004,AK6,0))=0,0,MAX(0,IFERROR(ROUND(INDEX(CAU_HINH_CA!$C$5:$C$50,MATCH(INDEX(NHAP_LIEU!$D$5:$D$10004,AK6),CAU_HINH_CA!$A$5:$A$50,0))*INDEX(NHAP_LIEU!$E$5:$E$10004,AK6),0),0)-SUM(INDEX(NHAP_LIEU!$H$5:$S$10004,AK6,0)))))</f>
        <v/>
      </c>
      <c r="Q6" s="18">
        <f>IF(C6="","",SUMIFS(MUC_TIEU_THANG!$C$5:$C$2004,MUC_TIEU_THANG!$B$5:$B$2004,C6,MUC_TIEU_THANG!$A$5:$A$2004,"&gt;="&amp;DATE(YEAR(A6),MONTH(A6),1),MUC_TIEU_THANG!$A$5:$A$2004,"&lt;"&amp;DATE(YEAR(A6),MONTH(A6)+1,1)))</f>
        <v/>
      </c>
      <c r="R6" s="18">
        <f>IF(C6="","",SUMPRODUCT((NHAP_LIEU!$C$5:$C$10004=C6)*(NHAP_LIEU!$A$5:$A$10004&gt;=DATE(YEAR(A6),MONTH(A6),1))*(NHAP_LIEU!$A$5:$A$10004&lt;=A6)*NHAP_LIEU!$H$5:$S$10004))</f>
        <v/>
      </c>
      <c r="S6" s="19">
        <f>IF(OR(R6="",N(Q6)=0),"",R6/Q6)</f>
        <v/>
      </c>
      <c r="T6" s="18">
        <f>IF(OR(R6="",N(Q6)=0),"",MAX(0,Q6-R6))</f>
        <v/>
      </c>
      <c r="U6" s="18">
        <f>IF(B6="","",SUMPRODUCT((NHAP_LIEU!$B$5:$B$10004=B6)*(NHAP_LIEU!$A$5:$A$10004&gt;=DATE(YEAR(A6),MONTH(A6),1))*(NHAP_LIEU!$A$5:$A$10004&lt;=A6)*NHAP_LIEU!$H$5:$S$10004))</f>
        <v/>
      </c>
      <c r="V6" s="18">
        <f>IF($AJ6="","",IF(INDEX(NHAP_LIEU!$H$5:$H$10004,$AJ6)="","",INDEX(NHAP_LIEU!$H$5:$H$10004,$AJ6)))</f>
        <v/>
      </c>
      <c r="W6" s="18">
        <f>IF($AJ6="","",IF(INDEX(NHAP_LIEU!$I$5:$I$10004,$AJ6)="","",INDEX(NHAP_LIEU!$I$5:$I$10004,$AJ6)))</f>
        <v/>
      </c>
      <c r="X6" s="18">
        <f>IF($AJ6="","",IF(INDEX(NHAP_LIEU!$J$5:$J$10004,$AJ6)="","",INDEX(NHAP_LIEU!$J$5:$J$10004,$AJ6)))</f>
        <v/>
      </c>
      <c r="Y6" s="18">
        <f>IF($AJ6="","",IF(INDEX(NHAP_LIEU!$K$5:$K$10004,$AJ6)="","",INDEX(NHAP_LIEU!$K$5:$K$10004,$AJ6)))</f>
        <v/>
      </c>
      <c r="Z6" s="18">
        <f>IF($AJ6="","",IF(INDEX(NHAP_LIEU!$L$5:$L$10004,$AJ6)="","",INDEX(NHAP_LIEU!$L$5:$L$10004,$AJ6)))</f>
        <v/>
      </c>
      <c r="AA6" s="18">
        <f>IF($AJ6="","",IF(INDEX(NHAP_LIEU!$M$5:$M$10004,$AJ6)="","",INDEX(NHAP_LIEU!$M$5:$M$10004,$AJ6)))</f>
        <v/>
      </c>
      <c r="AB6" s="18">
        <f>IF($AJ6="","",IF(INDEX(NHAP_LIEU!$N$5:$N$10004,$AJ6)="","",INDEX(NHAP_LIEU!$N$5:$N$10004,$AJ6)))</f>
        <v/>
      </c>
      <c r="AC6" s="18">
        <f>IF($AJ6="","",IF(INDEX(NHAP_LIEU!$O$5:$O$10004,$AJ6)="","",INDEX(NHAP_LIEU!$O$5:$O$10004,$AJ6)))</f>
        <v/>
      </c>
      <c r="AD6" s="18">
        <f>IF($AJ6="","",IF(INDEX(NHAP_LIEU!$P$5:$P$10004,$AJ6)="","",INDEX(NHAP_LIEU!$P$5:$P$10004,$AJ6)))</f>
        <v/>
      </c>
      <c r="AE6" s="18">
        <f>IF($AJ6="","",IF(INDEX(NHAP_LIEU!$Q$5:$Q$10004,$AJ6)="","",INDEX(NHAP_LIEU!$Q$5:$Q$10004,$AJ6)))</f>
        <v/>
      </c>
      <c r="AF6" s="18">
        <f>IF($AJ6="","",IF(INDEX(NHAP_LIEU!$R$5:$R$10004,$AJ6)="","",INDEX(NHAP_LIEU!$R$5:$R$10004,$AJ6)))</f>
        <v/>
      </c>
      <c r="AG6" s="18">
        <f>IF($AJ6="","",IF(INDEX(NHAP_LIEU!$S$5:$S$10004,$AJ6)="","",INDEX(NHAP_LIEU!$S$5:$S$10004,$AJ6)))</f>
        <v/>
      </c>
      <c r="AH6" s="16">
        <f>IF($AJ6="","",IF(INDEX(NHAP_LIEU!$AC$5:$AC$10004,$AJ6)="","",INDEX(NHAP_LIEU!$AC$5:$AC$10004,$AJ6)))</f>
        <v/>
      </c>
      <c r="AI6" s="16">
        <f>IF($AJ6="","",IF(INDEX(NHAP_LIEU!$AD$5:$AD$10004,$AJ6)="","",INDEX(NHAP_LIEU!$AD$5:$AD$10004,$AJ6)))</f>
        <v/>
      </c>
      <c r="AJ6" s="21">
        <f>IF(OR(B6="",A6=""),"",IFERROR(MATCH(1,INDEX((NHAP_LIEU!$A$5:$A$10004=A6)*(NHAP_LIEU!$B$5:$B$10004=B6),0),0),""))</f>
        <v/>
      </c>
      <c r="AK6" s="21">
        <f>IF(O6="","",IFERROR(MATCH(1,INDEX((NHAP_LIEU!$A$5:$A$10004=O6)*(NHAP_LIEU!$B$5:$B$10004=B6),0),0),""))</f>
        <v/>
      </c>
      <c r="AL6" s="18">
        <f>IF(C6="","",SUMIFS(MUC_TIEU_THANG!$K$5:$K$2004,MUC_TIEU_THANG!$B$5:$B$2004,C6,MUC_TIEU_THANG!$A$5:$A$2004,"&gt;="&amp;DATE(YEAR(A6),MONTH(A6),1),MUC_TIEU_THANG!$A$5:$A$2004,"&lt;"&amp;DATE(YEAR(A6),MONTH(A6)+1,1)))</f>
        <v/>
      </c>
      <c r="AM6" s="21">
        <f>IF(A6="","",MAX(0,NETWORKDAYS.INTL(A6,EOMONTH(A6,0),11)-SUMPRODUCT((LICH_LAM_VIEC!$A$5:$A$1000&gt;=A6)*(LICH_LAM_VIEC!$A$5:$A$1000&lt;=EOMONTH(A6,0))*(LICH_LAM_VIEC!$B$5:$B$1000="Nghỉ")*(WEEKDAY(LICH_LAM_VIEC!$A$5:$A$1000)&lt;&gt;1))+SUMPRODUCT((LICH_LAM_VIEC!$A$5:$A$1000&gt;=A6)*(LICH_LAM_VIEC!$A$5:$A$1000&lt;=EOMONTH(A6,0))*(LICH_LAM_VIEC!$B$5:$B$1000="Làm bù")*(WEEKDAY(LICH_LAM_VIEC!$A$5:$A$1000)=1))))</f>
        <v/>
      </c>
      <c r="AN6" s="18">
        <f>IF(OR(C6="",N(Q6)=0,N(AM6)=0),"",ROUNDUP(MAX(0,Q6-SUMPRODUCT((NHAP_LIEU!$C$5:$C$10004=C6)*(NHAP_LIEU!$A$5:$A$10004&gt;=DATE(YEAR(A6),MONTH(A6),1))*(NHAP_LIEU!$A$5:$A$10004&lt;A6)*NHAP_LIEU!$H$5:$S$10004))/AM6,0))</f>
        <v/>
      </c>
      <c r="AO6" s="21">
        <f>IF($AJ6="","",IF(INDEX(NHAP_LIEU!$AG$5:$AG$10004,$AJ6)="","",INDEX(NHAP_LIEU!$AG$5:$AG$10004,$AJ6)))</f>
        <v/>
      </c>
      <c r="AP6" s="24">
        <f>IF(OR(H6="",N(AO6)=0,N(L6)=0),"",H6/(AO6*L6))</f>
        <v/>
      </c>
      <c r="AQ6" s="18">
        <f>IF(OR(B6="",A6="",COUNTIFS(HANG_LOI!$A$5:$A$10004,A6,HANG_LOI!$C$5:$C$10004,B6)=0),"",SUMIFS(HANG_LOI!$F$5:$F$10004,HANG_LOI!$A$5:$A$10004,A6,HANG_LOI!$C$5:$C$10004,B6))</f>
        <v/>
      </c>
      <c r="AR6" s="25">
        <f>IF(OR(AQ6="",N(H6)=0),"",AQ6/H6)</f>
        <v/>
      </c>
      <c r="AS6" s="16">
        <f>IF($AJ6="","",IF(INDEX(NHAP_LIEU!$AI$5:$AI$10004,$AJ6)="","",INDEX(NHAP_LIEU!$AI$5:$AI$10004,$AJ6)))</f>
        <v/>
      </c>
      <c r="AT6" s="21">
        <f>IF($AJ6="","",IF(INDEX(NHAP_LIEU!$AJ$5:$AJ$10004,$AJ6)="","",INDEX(NHAP_LIEU!$AJ$5:$AJ$10004,$AJ6)))</f>
        <v/>
      </c>
    </row>
    <row r="7">
      <c r="A7" s="31">
        <f>IF(B7="","",$M$1)</f>
        <v/>
      </c>
      <c r="B7" s="16">
        <f>IF(DANH_SACH_CHUYEN!B7="","",DANH_SACH_CHUYEN!B7)</f>
        <v/>
      </c>
      <c r="C7" s="26">
        <f>IF($AJ7="","",IF(INDEX(NHAP_LIEU!$C$5:$C$10004,$AJ7)="","",INDEX(NHAP_LIEU!$C$5:$C$10004,$AJ7)))</f>
        <v/>
      </c>
      <c r="D7" s="16">
        <f>IF($AJ7="","",IF(INDEX(NHAP_LIEU!$D$5:$D$10004,$AJ7)="","",INDEX(NHAP_LIEU!$D$5:$D$10004,$AJ7)))</f>
        <v/>
      </c>
      <c r="E7" s="13">
        <f>IF(D7="","",IFERROR(INDEX(CAU_HINH_CA!$C$5:$C$50,MATCH(D7,CAU_HINH_CA!$A$5:$A$50,0)),""))</f>
        <v/>
      </c>
      <c r="F7" s="18">
        <f>IF($AJ7="","",IF(INDEX(NHAP_LIEU!$E$5:$E$10004,$AJ7)="","",INDEX(NHAP_LIEU!$E$5:$E$10004,$AJ7)))</f>
        <v/>
      </c>
      <c r="G7" s="18">
        <f>IF(OR(E7="",F7=""),"",ROUND(E7*F7,0))</f>
        <v/>
      </c>
      <c r="H7" s="18">
        <f>IF(COUNT(V7:AG7)=0,"",SUM(V7:AG7))</f>
        <v/>
      </c>
      <c r="I7" s="19">
        <f>IF(OR(H7="",N(G7)=0),"",H7/G7)</f>
        <v/>
      </c>
      <c r="J7" s="20">
        <f>IF(OR(H7="",G7=""),"",H7-G7)</f>
        <v/>
      </c>
      <c r="K7" s="18">
        <f>IF(OR(H7="",G7=""),"",MAX(0,G7-H7))</f>
        <v/>
      </c>
      <c r="L7" s="21">
        <f>IF(AJ7="","",COUNT(V7:AG7))</f>
        <v/>
      </c>
      <c r="M7" s="18">
        <f>IF(OR(L7="",F7="",G7=""),"",MIN(G7,L7*F7))</f>
        <v/>
      </c>
      <c r="N7" s="19">
        <f>IF(OR(H7="",N(M7)=0),"",H7/M7)</f>
        <v/>
      </c>
      <c r="O7" s="22">
        <f>IF(OR(B7="",A7=""),"",IF(SUMPRODUCT(MAX((NHAP_LIEU!$B$5:$B$10004=B7)*(NHAP_LIEU!$A$5:$A$10004&lt;A7)*NHAP_LIEU!$A$5:$A$10004))=0,"",SUMPRODUCT(MAX((NHAP_LIEU!$B$5:$B$10004=B7)*(NHAP_LIEU!$A$5:$A$10004&lt;A7)*NHAP_LIEU!$A$5:$A$10004))))</f>
        <v/>
      </c>
      <c r="P7" s="18">
        <f>IF(AK7="","",IF(COUNT(INDEX(NHAP_LIEU!$H$5:$S$10004,AK7,0))=0,0,MAX(0,IFERROR(ROUND(INDEX(CAU_HINH_CA!$C$5:$C$50,MATCH(INDEX(NHAP_LIEU!$D$5:$D$10004,AK7),CAU_HINH_CA!$A$5:$A$50,0))*INDEX(NHAP_LIEU!$E$5:$E$10004,AK7),0),0)-SUM(INDEX(NHAP_LIEU!$H$5:$S$10004,AK7,0)))))</f>
        <v/>
      </c>
      <c r="Q7" s="18">
        <f>IF(C7="","",SUMIFS(MUC_TIEU_THANG!$C$5:$C$2004,MUC_TIEU_THANG!$B$5:$B$2004,C7,MUC_TIEU_THANG!$A$5:$A$2004,"&gt;="&amp;DATE(YEAR(A7),MONTH(A7),1),MUC_TIEU_THANG!$A$5:$A$2004,"&lt;"&amp;DATE(YEAR(A7),MONTH(A7)+1,1)))</f>
        <v/>
      </c>
      <c r="R7" s="18">
        <f>IF(C7="","",SUMPRODUCT((NHAP_LIEU!$C$5:$C$10004=C7)*(NHAP_LIEU!$A$5:$A$10004&gt;=DATE(YEAR(A7),MONTH(A7),1))*(NHAP_LIEU!$A$5:$A$10004&lt;=A7)*NHAP_LIEU!$H$5:$S$10004))</f>
        <v/>
      </c>
      <c r="S7" s="19">
        <f>IF(OR(R7="",N(Q7)=0),"",R7/Q7)</f>
        <v/>
      </c>
      <c r="T7" s="18">
        <f>IF(OR(R7="",N(Q7)=0),"",MAX(0,Q7-R7))</f>
        <v/>
      </c>
      <c r="U7" s="18">
        <f>IF(B7="","",SUMPRODUCT((NHAP_LIEU!$B$5:$B$10004=B7)*(NHAP_LIEU!$A$5:$A$10004&gt;=DATE(YEAR(A7),MONTH(A7),1))*(NHAP_LIEU!$A$5:$A$10004&lt;=A7)*NHAP_LIEU!$H$5:$S$10004))</f>
        <v/>
      </c>
      <c r="V7" s="18">
        <f>IF($AJ7="","",IF(INDEX(NHAP_LIEU!$H$5:$H$10004,$AJ7)="","",INDEX(NHAP_LIEU!$H$5:$H$10004,$AJ7)))</f>
        <v/>
      </c>
      <c r="W7" s="18">
        <f>IF($AJ7="","",IF(INDEX(NHAP_LIEU!$I$5:$I$10004,$AJ7)="","",INDEX(NHAP_LIEU!$I$5:$I$10004,$AJ7)))</f>
        <v/>
      </c>
      <c r="X7" s="18">
        <f>IF($AJ7="","",IF(INDEX(NHAP_LIEU!$J$5:$J$10004,$AJ7)="","",INDEX(NHAP_LIEU!$J$5:$J$10004,$AJ7)))</f>
        <v/>
      </c>
      <c r="Y7" s="18">
        <f>IF($AJ7="","",IF(INDEX(NHAP_LIEU!$K$5:$K$10004,$AJ7)="","",INDEX(NHAP_LIEU!$K$5:$K$10004,$AJ7)))</f>
        <v/>
      </c>
      <c r="Z7" s="18">
        <f>IF($AJ7="","",IF(INDEX(NHAP_LIEU!$L$5:$L$10004,$AJ7)="","",INDEX(NHAP_LIEU!$L$5:$L$10004,$AJ7)))</f>
        <v/>
      </c>
      <c r="AA7" s="18">
        <f>IF($AJ7="","",IF(INDEX(NHAP_LIEU!$M$5:$M$10004,$AJ7)="","",INDEX(NHAP_LIEU!$M$5:$M$10004,$AJ7)))</f>
        <v/>
      </c>
      <c r="AB7" s="18">
        <f>IF($AJ7="","",IF(INDEX(NHAP_LIEU!$N$5:$N$10004,$AJ7)="","",INDEX(NHAP_LIEU!$N$5:$N$10004,$AJ7)))</f>
        <v/>
      </c>
      <c r="AC7" s="18">
        <f>IF($AJ7="","",IF(INDEX(NHAP_LIEU!$O$5:$O$10004,$AJ7)="","",INDEX(NHAP_LIEU!$O$5:$O$10004,$AJ7)))</f>
        <v/>
      </c>
      <c r="AD7" s="18">
        <f>IF($AJ7="","",IF(INDEX(NHAP_LIEU!$P$5:$P$10004,$AJ7)="","",INDEX(NHAP_LIEU!$P$5:$P$10004,$AJ7)))</f>
        <v/>
      </c>
      <c r="AE7" s="18">
        <f>IF($AJ7="","",IF(INDEX(NHAP_LIEU!$Q$5:$Q$10004,$AJ7)="","",INDEX(NHAP_LIEU!$Q$5:$Q$10004,$AJ7)))</f>
        <v/>
      </c>
      <c r="AF7" s="18">
        <f>IF($AJ7="","",IF(INDEX(NHAP_LIEU!$R$5:$R$10004,$AJ7)="","",INDEX(NHAP_LIEU!$R$5:$R$10004,$AJ7)))</f>
        <v/>
      </c>
      <c r="AG7" s="18">
        <f>IF($AJ7="","",IF(INDEX(NHAP_LIEU!$S$5:$S$10004,$AJ7)="","",INDEX(NHAP_LIEU!$S$5:$S$10004,$AJ7)))</f>
        <v/>
      </c>
      <c r="AH7" s="16">
        <f>IF($AJ7="","",IF(INDEX(NHAP_LIEU!$AC$5:$AC$10004,$AJ7)="","",INDEX(NHAP_LIEU!$AC$5:$AC$10004,$AJ7)))</f>
        <v/>
      </c>
      <c r="AI7" s="16">
        <f>IF($AJ7="","",IF(INDEX(NHAP_LIEU!$AD$5:$AD$10004,$AJ7)="","",INDEX(NHAP_LIEU!$AD$5:$AD$10004,$AJ7)))</f>
        <v/>
      </c>
      <c r="AJ7" s="21">
        <f>IF(OR(B7="",A7=""),"",IFERROR(MATCH(1,INDEX((NHAP_LIEU!$A$5:$A$10004=A7)*(NHAP_LIEU!$B$5:$B$10004=B7),0),0),""))</f>
        <v/>
      </c>
      <c r="AK7" s="21">
        <f>IF(O7="","",IFERROR(MATCH(1,INDEX((NHAP_LIEU!$A$5:$A$10004=O7)*(NHAP_LIEU!$B$5:$B$10004=B7),0),0),""))</f>
        <v/>
      </c>
      <c r="AL7" s="18">
        <f>IF(C7="","",SUMIFS(MUC_TIEU_THANG!$K$5:$K$2004,MUC_TIEU_THANG!$B$5:$B$2004,C7,MUC_TIEU_THANG!$A$5:$A$2004,"&gt;="&amp;DATE(YEAR(A7),MONTH(A7),1),MUC_TIEU_THANG!$A$5:$A$2004,"&lt;"&amp;DATE(YEAR(A7),MONTH(A7)+1,1)))</f>
        <v/>
      </c>
      <c r="AM7" s="21">
        <f>IF(A7="","",MAX(0,NETWORKDAYS.INTL(A7,EOMONTH(A7,0),11)-SUMPRODUCT((LICH_LAM_VIEC!$A$5:$A$1000&gt;=A7)*(LICH_LAM_VIEC!$A$5:$A$1000&lt;=EOMONTH(A7,0))*(LICH_LAM_VIEC!$B$5:$B$1000="Nghỉ")*(WEEKDAY(LICH_LAM_VIEC!$A$5:$A$1000)&lt;&gt;1))+SUMPRODUCT((LICH_LAM_VIEC!$A$5:$A$1000&gt;=A7)*(LICH_LAM_VIEC!$A$5:$A$1000&lt;=EOMONTH(A7,0))*(LICH_LAM_VIEC!$B$5:$B$1000="Làm bù")*(WEEKDAY(LICH_LAM_VIEC!$A$5:$A$1000)=1))))</f>
        <v/>
      </c>
      <c r="AN7" s="18">
        <f>IF(OR(C7="",N(Q7)=0,N(AM7)=0),"",ROUNDUP(MAX(0,Q7-SUMPRODUCT((NHAP_LIEU!$C$5:$C$10004=C7)*(NHAP_LIEU!$A$5:$A$10004&gt;=DATE(YEAR(A7),MONTH(A7),1))*(NHAP_LIEU!$A$5:$A$10004&lt;A7)*NHAP_LIEU!$H$5:$S$10004))/AM7,0))</f>
        <v/>
      </c>
      <c r="AO7" s="21">
        <f>IF($AJ7="","",IF(INDEX(NHAP_LIEU!$AG$5:$AG$10004,$AJ7)="","",INDEX(NHAP_LIEU!$AG$5:$AG$10004,$AJ7)))</f>
        <v/>
      </c>
      <c r="AP7" s="24">
        <f>IF(OR(H7="",N(AO7)=0,N(L7)=0),"",H7/(AO7*L7))</f>
        <v/>
      </c>
      <c r="AQ7" s="18">
        <f>IF(OR(B7="",A7="",COUNTIFS(HANG_LOI!$A$5:$A$10004,A7,HANG_LOI!$C$5:$C$10004,B7)=0),"",SUMIFS(HANG_LOI!$F$5:$F$10004,HANG_LOI!$A$5:$A$10004,A7,HANG_LOI!$C$5:$C$10004,B7))</f>
        <v/>
      </c>
      <c r="AR7" s="25">
        <f>IF(OR(AQ7="",N(H7)=0),"",AQ7/H7)</f>
        <v/>
      </c>
      <c r="AS7" s="16">
        <f>IF($AJ7="","",IF(INDEX(NHAP_LIEU!$AI$5:$AI$10004,$AJ7)="","",INDEX(NHAP_LIEU!$AI$5:$AI$10004,$AJ7)))</f>
        <v/>
      </c>
      <c r="AT7" s="21">
        <f>IF($AJ7="","",IF(INDEX(NHAP_LIEU!$AJ$5:$AJ$10004,$AJ7)="","",INDEX(NHAP_LIEU!$AJ$5:$AJ$10004,$AJ7)))</f>
        <v/>
      </c>
    </row>
    <row r="8">
      <c r="A8" s="31">
        <f>IF(B8="","",$M$1)</f>
        <v/>
      </c>
      <c r="B8" s="16">
        <f>IF(DANH_SACH_CHUYEN!B8="","",DANH_SACH_CHUYEN!B8)</f>
        <v/>
      </c>
      <c r="C8" s="26">
        <f>IF($AJ8="","",IF(INDEX(NHAP_LIEU!$C$5:$C$10004,$AJ8)="","",INDEX(NHAP_LIEU!$C$5:$C$10004,$AJ8)))</f>
        <v/>
      </c>
      <c r="D8" s="16">
        <f>IF($AJ8="","",IF(INDEX(NHAP_LIEU!$D$5:$D$10004,$AJ8)="","",INDEX(NHAP_LIEU!$D$5:$D$10004,$AJ8)))</f>
        <v/>
      </c>
      <c r="E8" s="13">
        <f>IF(D8="","",IFERROR(INDEX(CAU_HINH_CA!$C$5:$C$50,MATCH(D8,CAU_HINH_CA!$A$5:$A$50,0)),""))</f>
        <v/>
      </c>
      <c r="F8" s="18">
        <f>IF($AJ8="","",IF(INDEX(NHAP_LIEU!$E$5:$E$10004,$AJ8)="","",INDEX(NHAP_LIEU!$E$5:$E$10004,$AJ8)))</f>
        <v/>
      </c>
      <c r="G8" s="18">
        <f>IF(OR(E8="",F8=""),"",ROUND(E8*F8,0))</f>
        <v/>
      </c>
      <c r="H8" s="18">
        <f>IF(COUNT(V8:AG8)=0,"",SUM(V8:AG8))</f>
        <v/>
      </c>
      <c r="I8" s="19">
        <f>IF(OR(H8="",N(G8)=0),"",H8/G8)</f>
        <v/>
      </c>
      <c r="J8" s="20">
        <f>IF(OR(H8="",G8=""),"",H8-G8)</f>
        <v/>
      </c>
      <c r="K8" s="18">
        <f>IF(OR(H8="",G8=""),"",MAX(0,G8-H8))</f>
        <v/>
      </c>
      <c r="L8" s="21">
        <f>IF(AJ8="","",COUNT(V8:AG8))</f>
        <v/>
      </c>
      <c r="M8" s="18">
        <f>IF(OR(L8="",F8="",G8=""),"",MIN(G8,L8*F8))</f>
        <v/>
      </c>
      <c r="N8" s="19">
        <f>IF(OR(H8="",N(M8)=0),"",H8/M8)</f>
        <v/>
      </c>
      <c r="O8" s="22">
        <f>IF(OR(B8="",A8=""),"",IF(SUMPRODUCT(MAX((NHAP_LIEU!$B$5:$B$10004=B8)*(NHAP_LIEU!$A$5:$A$10004&lt;A8)*NHAP_LIEU!$A$5:$A$10004))=0,"",SUMPRODUCT(MAX((NHAP_LIEU!$B$5:$B$10004=B8)*(NHAP_LIEU!$A$5:$A$10004&lt;A8)*NHAP_LIEU!$A$5:$A$10004))))</f>
        <v/>
      </c>
      <c r="P8" s="18">
        <f>IF(AK8="","",IF(COUNT(INDEX(NHAP_LIEU!$H$5:$S$10004,AK8,0))=0,0,MAX(0,IFERROR(ROUND(INDEX(CAU_HINH_CA!$C$5:$C$50,MATCH(INDEX(NHAP_LIEU!$D$5:$D$10004,AK8),CAU_HINH_CA!$A$5:$A$50,0))*INDEX(NHAP_LIEU!$E$5:$E$10004,AK8),0),0)-SUM(INDEX(NHAP_LIEU!$H$5:$S$10004,AK8,0)))))</f>
        <v/>
      </c>
      <c r="Q8" s="18">
        <f>IF(C8="","",SUMIFS(MUC_TIEU_THANG!$C$5:$C$2004,MUC_TIEU_THANG!$B$5:$B$2004,C8,MUC_TIEU_THANG!$A$5:$A$2004,"&gt;="&amp;DATE(YEAR(A8),MONTH(A8),1),MUC_TIEU_THANG!$A$5:$A$2004,"&lt;"&amp;DATE(YEAR(A8),MONTH(A8)+1,1)))</f>
        <v/>
      </c>
      <c r="R8" s="18">
        <f>IF(C8="","",SUMPRODUCT((NHAP_LIEU!$C$5:$C$10004=C8)*(NHAP_LIEU!$A$5:$A$10004&gt;=DATE(YEAR(A8),MONTH(A8),1))*(NHAP_LIEU!$A$5:$A$10004&lt;=A8)*NHAP_LIEU!$H$5:$S$10004))</f>
        <v/>
      </c>
      <c r="S8" s="19">
        <f>IF(OR(R8="",N(Q8)=0),"",R8/Q8)</f>
        <v/>
      </c>
      <c r="T8" s="18">
        <f>IF(OR(R8="",N(Q8)=0),"",MAX(0,Q8-R8))</f>
        <v/>
      </c>
      <c r="U8" s="18">
        <f>IF(B8="","",SUMPRODUCT((NHAP_LIEU!$B$5:$B$10004=B8)*(NHAP_LIEU!$A$5:$A$10004&gt;=DATE(YEAR(A8),MONTH(A8),1))*(NHAP_LIEU!$A$5:$A$10004&lt;=A8)*NHAP_LIEU!$H$5:$S$10004))</f>
        <v/>
      </c>
      <c r="V8" s="18">
        <f>IF($AJ8="","",IF(INDEX(NHAP_LIEU!$H$5:$H$10004,$AJ8)="","",INDEX(NHAP_LIEU!$H$5:$H$10004,$AJ8)))</f>
        <v/>
      </c>
      <c r="W8" s="18">
        <f>IF($AJ8="","",IF(INDEX(NHAP_LIEU!$I$5:$I$10004,$AJ8)="","",INDEX(NHAP_LIEU!$I$5:$I$10004,$AJ8)))</f>
        <v/>
      </c>
      <c r="X8" s="18">
        <f>IF($AJ8="","",IF(INDEX(NHAP_LIEU!$J$5:$J$10004,$AJ8)="","",INDEX(NHAP_LIEU!$J$5:$J$10004,$AJ8)))</f>
        <v/>
      </c>
      <c r="Y8" s="18">
        <f>IF($AJ8="","",IF(INDEX(NHAP_LIEU!$K$5:$K$10004,$AJ8)="","",INDEX(NHAP_LIEU!$K$5:$K$10004,$AJ8)))</f>
        <v/>
      </c>
      <c r="Z8" s="18">
        <f>IF($AJ8="","",IF(INDEX(NHAP_LIEU!$L$5:$L$10004,$AJ8)="","",INDEX(NHAP_LIEU!$L$5:$L$10004,$AJ8)))</f>
        <v/>
      </c>
      <c r="AA8" s="18">
        <f>IF($AJ8="","",IF(INDEX(NHAP_LIEU!$M$5:$M$10004,$AJ8)="","",INDEX(NHAP_LIEU!$M$5:$M$10004,$AJ8)))</f>
        <v/>
      </c>
      <c r="AB8" s="18">
        <f>IF($AJ8="","",IF(INDEX(NHAP_LIEU!$N$5:$N$10004,$AJ8)="","",INDEX(NHAP_LIEU!$N$5:$N$10004,$AJ8)))</f>
        <v/>
      </c>
      <c r="AC8" s="18">
        <f>IF($AJ8="","",IF(INDEX(NHAP_LIEU!$O$5:$O$10004,$AJ8)="","",INDEX(NHAP_LIEU!$O$5:$O$10004,$AJ8)))</f>
        <v/>
      </c>
      <c r="AD8" s="18">
        <f>IF($AJ8="","",IF(INDEX(NHAP_LIEU!$P$5:$P$10004,$AJ8)="","",INDEX(NHAP_LIEU!$P$5:$P$10004,$AJ8)))</f>
        <v/>
      </c>
      <c r="AE8" s="18">
        <f>IF($AJ8="","",IF(INDEX(NHAP_LIEU!$Q$5:$Q$10004,$AJ8)="","",INDEX(NHAP_LIEU!$Q$5:$Q$10004,$AJ8)))</f>
        <v/>
      </c>
      <c r="AF8" s="18">
        <f>IF($AJ8="","",IF(INDEX(NHAP_LIEU!$R$5:$R$10004,$AJ8)="","",INDEX(NHAP_LIEU!$R$5:$R$10004,$AJ8)))</f>
        <v/>
      </c>
      <c r="AG8" s="18">
        <f>IF($AJ8="","",IF(INDEX(NHAP_LIEU!$S$5:$S$10004,$AJ8)="","",INDEX(NHAP_LIEU!$S$5:$S$10004,$AJ8)))</f>
        <v/>
      </c>
      <c r="AH8" s="16">
        <f>IF($AJ8="","",IF(INDEX(NHAP_LIEU!$AC$5:$AC$10004,$AJ8)="","",INDEX(NHAP_LIEU!$AC$5:$AC$10004,$AJ8)))</f>
        <v/>
      </c>
      <c r="AI8" s="16">
        <f>IF($AJ8="","",IF(INDEX(NHAP_LIEU!$AD$5:$AD$10004,$AJ8)="","",INDEX(NHAP_LIEU!$AD$5:$AD$10004,$AJ8)))</f>
        <v/>
      </c>
      <c r="AJ8" s="21">
        <f>IF(OR(B8="",A8=""),"",IFERROR(MATCH(1,INDEX((NHAP_LIEU!$A$5:$A$10004=A8)*(NHAP_LIEU!$B$5:$B$10004=B8),0),0),""))</f>
        <v/>
      </c>
      <c r="AK8" s="21">
        <f>IF(O8="","",IFERROR(MATCH(1,INDEX((NHAP_LIEU!$A$5:$A$10004=O8)*(NHAP_LIEU!$B$5:$B$10004=B8),0),0),""))</f>
        <v/>
      </c>
      <c r="AL8" s="18">
        <f>IF(C8="","",SUMIFS(MUC_TIEU_THANG!$K$5:$K$2004,MUC_TIEU_THANG!$B$5:$B$2004,C8,MUC_TIEU_THANG!$A$5:$A$2004,"&gt;="&amp;DATE(YEAR(A8),MONTH(A8),1),MUC_TIEU_THANG!$A$5:$A$2004,"&lt;"&amp;DATE(YEAR(A8),MONTH(A8)+1,1)))</f>
        <v/>
      </c>
      <c r="AM8" s="21">
        <f>IF(A8="","",MAX(0,NETWORKDAYS.INTL(A8,EOMONTH(A8,0),11)-SUMPRODUCT((LICH_LAM_VIEC!$A$5:$A$1000&gt;=A8)*(LICH_LAM_VIEC!$A$5:$A$1000&lt;=EOMONTH(A8,0))*(LICH_LAM_VIEC!$B$5:$B$1000="Nghỉ")*(WEEKDAY(LICH_LAM_VIEC!$A$5:$A$1000)&lt;&gt;1))+SUMPRODUCT((LICH_LAM_VIEC!$A$5:$A$1000&gt;=A8)*(LICH_LAM_VIEC!$A$5:$A$1000&lt;=EOMONTH(A8,0))*(LICH_LAM_VIEC!$B$5:$B$1000="Làm bù")*(WEEKDAY(LICH_LAM_VIEC!$A$5:$A$1000)=1))))</f>
        <v/>
      </c>
      <c r="AN8" s="18">
        <f>IF(OR(C8="",N(Q8)=0,N(AM8)=0),"",ROUNDUP(MAX(0,Q8-SUMPRODUCT((NHAP_LIEU!$C$5:$C$10004=C8)*(NHAP_LIEU!$A$5:$A$10004&gt;=DATE(YEAR(A8),MONTH(A8),1))*(NHAP_LIEU!$A$5:$A$10004&lt;A8)*NHAP_LIEU!$H$5:$S$10004))/AM8,0))</f>
        <v/>
      </c>
      <c r="AO8" s="21">
        <f>IF($AJ8="","",IF(INDEX(NHAP_LIEU!$AG$5:$AG$10004,$AJ8)="","",INDEX(NHAP_LIEU!$AG$5:$AG$10004,$AJ8)))</f>
        <v/>
      </c>
      <c r="AP8" s="24">
        <f>IF(OR(H8="",N(AO8)=0,N(L8)=0),"",H8/(AO8*L8))</f>
        <v/>
      </c>
      <c r="AQ8" s="18">
        <f>IF(OR(B8="",A8="",COUNTIFS(HANG_LOI!$A$5:$A$10004,A8,HANG_LOI!$C$5:$C$10004,B8)=0),"",SUMIFS(HANG_LOI!$F$5:$F$10004,HANG_LOI!$A$5:$A$10004,A8,HANG_LOI!$C$5:$C$10004,B8))</f>
        <v/>
      </c>
      <c r="AR8" s="25">
        <f>IF(OR(AQ8="",N(H8)=0),"",AQ8/H8)</f>
        <v/>
      </c>
      <c r="AS8" s="16">
        <f>IF($AJ8="","",IF(INDEX(NHAP_LIEU!$AI$5:$AI$10004,$AJ8)="","",INDEX(NHAP_LIEU!$AI$5:$AI$10004,$AJ8)))</f>
        <v/>
      </c>
      <c r="AT8" s="21">
        <f>IF($AJ8="","",IF(INDEX(NHAP_LIEU!$AJ$5:$AJ$10004,$AJ8)="","",INDEX(NHAP_LIEU!$AJ$5:$AJ$10004,$AJ8)))</f>
        <v/>
      </c>
    </row>
    <row r="9">
      <c r="A9" s="31">
        <f>IF(B9="","",$M$1)</f>
        <v/>
      </c>
      <c r="B9" s="16">
        <f>IF(DANH_SACH_CHUYEN!B9="","",DANH_SACH_CHUYEN!B9)</f>
        <v/>
      </c>
      <c r="C9" s="26">
        <f>IF($AJ9="","",IF(INDEX(NHAP_LIEU!$C$5:$C$10004,$AJ9)="","",INDEX(NHAP_LIEU!$C$5:$C$10004,$AJ9)))</f>
        <v/>
      </c>
      <c r="D9" s="16">
        <f>IF($AJ9="","",IF(INDEX(NHAP_LIEU!$D$5:$D$10004,$AJ9)="","",INDEX(NHAP_LIEU!$D$5:$D$10004,$AJ9)))</f>
        <v/>
      </c>
      <c r="E9" s="13">
        <f>IF(D9="","",IFERROR(INDEX(CAU_HINH_CA!$C$5:$C$50,MATCH(D9,CAU_HINH_CA!$A$5:$A$50,0)),""))</f>
        <v/>
      </c>
      <c r="F9" s="18">
        <f>IF($AJ9="","",IF(INDEX(NHAP_LIEU!$E$5:$E$10004,$AJ9)="","",INDEX(NHAP_LIEU!$E$5:$E$10004,$AJ9)))</f>
        <v/>
      </c>
      <c r="G9" s="18">
        <f>IF(OR(E9="",F9=""),"",ROUND(E9*F9,0))</f>
        <v/>
      </c>
      <c r="H9" s="18">
        <f>IF(COUNT(V9:AG9)=0,"",SUM(V9:AG9))</f>
        <v/>
      </c>
      <c r="I9" s="19">
        <f>IF(OR(H9="",N(G9)=0),"",H9/G9)</f>
        <v/>
      </c>
      <c r="J9" s="20">
        <f>IF(OR(H9="",G9=""),"",H9-G9)</f>
        <v/>
      </c>
      <c r="K9" s="18">
        <f>IF(OR(H9="",G9=""),"",MAX(0,G9-H9))</f>
        <v/>
      </c>
      <c r="L9" s="21">
        <f>IF(AJ9="","",COUNT(V9:AG9))</f>
        <v/>
      </c>
      <c r="M9" s="18">
        <f>IF(OR(L9="",F9="",G9=""),"",MIN(G9,L9*F9))</f>
        <v/>
      </c>
      <c r="N9" s="19">
        <f>IF(OR(H9="",N(M9)=0),"",H9/M9)</f>
        <v/>
      </c>
      <c r="O9" s="22">
        <f>IF(OR(B9="",A9=""),"",IF(SUMPRODUCT(MAX((NHAP_LIEU!$B$5:$B$10004=B9)*(NHAP_LIEU!$A$5:$A$10004&lt;A9)*NHAP_LIEU!$A$5:$A$10004))=0,"",SUMPRODUCT(MAX((NHAP_LIEU!$B$5:$B$10004=B9)*(NHAP_LIEU!$A$5:$A$10004&lt;A9)*NHAP_LIEU!$A$5:$A$10004))))</f>
        <v/>
      </c>
      <c r="P9" s="18">
        <f>IF(AK9="","",IF(COUNT(INDEX(NHAP_LIEU!$H$5:$S$10004,AK9,0))=0,0,MAX(0,IFERROR(ROUND(INDEX(CAU_HINH_CA!$C$5:$C$50,MATCH(INDEX(NHAP_LIEU!$D$5:$D$10004,AK9),CAU_HINH_CA!$A$5:$A$50,0))*INDEX(NHAP_LIEU!$E$5:$E$10004,AK9),0),0)-SUM(INDEX(NHAP_LIEU!$H$5:$S$10004,AK9,0)))))</f>
        <v/>
      </c>
      <c r="Q9" s="18">
        <f>IF(C9="","",SUMIFS(MUC_TIEU_THANG!$C$5:$C$2004,MUC_TIEU_THANG!$B$5:$B$2004,C9,MUC_TIEU_THANG!$A$5:$A$2004,"&gt;="&amp;DATE(YEAR(A9),MONTH(A9),1),MUC_TIEU_THANG!$A$5:$A$2004,"&lt;"&amp;DATE(YEAR(A9),MONTH(A9)+1,1)))</f>
        <v/>
      </c>
      <c r="R9" s="18">
        <f>IF(C9="","",SUMPRODUCT((NHAP_LIEU!$C$5:$C$10004=C9)*(NHAP_LIEU!$A$5:$A$10004&gt;=DATE(YEAR(A9),MONTH(A9),1))*(NHAP_LIEU!$A$5:$A$10004&lt;=A9)*NHAP_LIEU!$H$5:$S$10004))</f>
        <v/>
      </c>
      <c r="S9" s="19">
        <f>IF(OR(R9="",N(Q9)=0),"",R9/Q9)</f>
        <v/>
      </c>
      <c r="T9" s="18">
        <f>IF(OR(R9="",N(Q9)=0),"",MAX(0,Q9-R9))</f>
        <v/>
      </c>
      <c r="U9" s="18">
        <f>IF(B9="","",SUMPRODUCT((NHAP_LIEU!$B$5:$B$10004=B9)*(NHAP_LIEU!$A$5:$A$10004&gt;=DATE(YEAR(A9),MONTH(A9),1))*(NHAP_LIEU!$A$5:$A$10004&lt;=A9)*NHAP_LIEU!$H$5:$S$10004))</f>
        <v/>
      </c>
      <c r="V9" s="18">
        <f>IF($AJ9="","",IF(INDEX(NHAP_LIEU!$H$5:$H$10004,$AJ9)="","",INDEX(NHAP_LIEU!$H$5:$H$10004,$AJ9)))</f>
        <v/>
      </c>
      <c r="W9" s="18">
        <f>IF($AJ9="","",IF(INDEX(NHAP_LIEU!$I$5:$I$10004,$AJ9)="","",INDEX(NHAP_LIEU!$I$5:$I$10004,$AJ9)))</f>
        <v/>
      </c>
      <c r="X9" s="18">
        <f>IF($AJ9="","",IF(INDEX(NHAP_LIEU!$J$5:$J$10004,$AJ9)="","",INDEX(NHAP_LIEU!$J$5:$J$10004,$AJ9)))</f>
        <v/>
      </c>
      <c r="Y9" s="18">
        <f>IF($AJ9="","",IF(INDEX(NHAP_LIEU!$K$5:$K$10004,$AJ9)="","",INDEX(NHAP_LIEU!$K$5:$K$10004,$AJ9)))</f>
        <v/>
      </c>
      <c r="Z9" s="18">
        <f>IF($AJ9="","",IF(INDEX(NHAP_LIEU!$L$5:$L$10004,$AJ9)="","",INDEX(NHAP_LIEU!$L$5:$L$10004,$AJ9)))</f>
        <v/>
      </c>
      <c r="AA9" s="18">
        <f>IF($AJ9="","",IF(INDEX(NHAP_LIEU!$M$5:$M$10004,$AJ9)="","",INDEX(NHAP_LIEU!$M$5:$M$10004,$AJ9)))</f>
        <v/>
      </c>
      <c r="AB9" s="18">
        <f>IF($AJ9="","",IF(INDEX(NHAP_LIEU!$N$5:$N$10004,$AJ9)="","",INDEX(NHAP_LIEU!$N$5:$N$10004,$AJ9)))</f>
        <v/>
      </c>
      <c r="AC9" s="18">
        <f>IF($AJ9="","",IF(INDEX(NHAP_LIEU!$O$5:$O$10004,$AJ9)="","",INDEX(NHAP_LIEU!$O$5:$O$10004,$AJ9)))</f>
        <v/>
      </c>
      <c r="AD9" s="18">
        <f>IF($AJ9="","",IF(INDEX(NHAP_LIEU!$P$5:$P$10004,$AJ9)="","",INDEX(NHAP_LIEU!$P$5:$P$10004,$AJ9)))</f>
        <v/>
      </c>
      <c r="AE9" s="18">
        <f>IF($AJ9="","",IF(INDEX(NHAP_LIEU!$Q$5:$Q$10004,$AJ9)="","",INDEX(NHAP_LIEU!$Q$5:$Q$10004,$AJ9)))</f>
        <v/>
      </c>
      <c r="AF9" s="18">
        <f>IF($AJ9="","",IF(INDEX(NHAP_LIEU!$R$5:$R$10004,$AJ9)="","",INDEX(NHAP_LIEU!$R$5:$R$10004,$AJ9)))</f>
        <v/>
      </c>
      <c r="AG9" s="18">
        <f>IF($AJ9="","",IF(INDEX(NHAP_LIEU!$S$5:$S$10004,$AJ9)="","",INDEX(NHAP_LIEU!$S$5:$S$10004,$AJ9)))</f>
        <v/>
      </c>
      <c r="AH9" s="16">
        <f>IF($AJ9="","",IF(INDEX(NHAP_LIEU!$AC$5:$AC$10004,$AJ9)="","",INDEX(NHAP_LIEU!$AC$5:$AC$10004,$AJ9)))</f>
        <v/>
      </c>
      <c r="AI9" s="16">
        <f>IF($AJ9="","",IF(INDEX(NHAP_LIEU!$AD$5:$AD$10004,$AJ9)="","",INDEX(NHAP_LIEU!$AD$5:$AD$10004,$AJ9)))</f>
        <v/>
      </c>
      <c r="AJ9" s="21">
        <f>IF(OR(B9="",A9=""),"",IFERROR(MATCH(1,INDEX((NHAP_LIEU!$A$5:$A$10004=A9)*(NHAP_LIEU!$B$5:$B$10004=B9),0),0),""))</f>
        <v/>
      </c>
      <c r="AK9" s="21">
        <f>IF(O9="","",IFERROR(MATCH(1,INDEX((NHAP_LIEU!$A$5:$A$10004=O9)*(NHAP_LIEU!$B$5:$B$10004=B9),0),0),""))</f>
        <v/>
      </c>
      <c r="AL9" s="18">
        <f>IF(C9="","",SUMIFS(MUC_TIEU_THANG!$K$5:$K$2004,MUC_TIEU_THANG!$B$5:$B$2004,C9,MUC_TIEU_THANG!$A$5:$A$2004,"&gt;="&amp;DATE(YEAR(A9),MONTH(A9),1),MUC_TIEU_THANG!$A$5:$A$2004,"&lt;"&amp;DATE(YEAR(A9),MONTH(A9)+1,1)))</f>
        <v/>
      </c>
      <c r="AM9" s="21">
        <f>IF(A9="","",MAX(0,NETWORKDAYS.INTL(A9,EOMONTH(A9,0),11)-SUMPRODUCT((LICH_LAM_VIEC!$A$5:$A$1000&gt;=A9)*(LICH_LAM_VIEC!$A$5:$A$1000&lt;=EOMONTH(A9,0))*(LICH_LAM_VIEC!$B$5:$B$1000="Nghỉ")*(WEEKDAY(LICH_LAM_VIEC!$A$5:$A$1000)&lt;&gt;1))+SUMPRODUCT((LICH_LAM_VIEC!$A$5:$A$1000&gt;=A9)*(LICH_LAM_VIEC!$A$5:$A$1000&lt;=EOMONTH(A9,0))*(LICH_LAM_VIEC!$B$5:$B$1000="Làm bù")*(WEEKDAY(LICH_LAM_VIEC!$A$5:$A$1000)=1))))</f>
        <v/>
      </c>
      <c r="AN9" s="18">
        <f>IF(OR(C9="",N(Q9)=0,N(AM9)=0),"",ROUNDUP(MAX(0,Q9-SUMPRODUCT((NHAP_LIEU!$C$5:$C$10004=C9)*(NHAP_LIEU!$A$5:$A$10004&gt;=DATE(YEAR(A9),MONTH(A9),1))*(NHAP_LIEU!$A$5:$A$10004&lt;A9)*NHAP_LIEU!$H$5:$S$10004))/AM9,0))</f>
        <v/>
      </c>
      <c r="AO9" s="21">
        <f>IF($AJ9="","",IF(INDEX(NHAP_LIEU!$AG$5:$AG$10004,$AJ9)="","",INDEX(NHAP_LIEU!$AG$5:$AG$10004,$AJ9)))</f>
        <v/>
      </c>
      <c r="AP9" s="24">
        <f>IF(OR(H9="",N(AO9)=0,N(L9)=0),"",H9/(AO9*L9))</f>
        <v/>
      </c>
      <c r="AQ9" s="18">
        <f>IF(OR(B9="",A9="",COUNTIFS(HANG_LOI!$A$5:$A$10004,A9,HANG_LOI!$C$5:$C$10004,B9)=0),"",SUMIFS(HANG_LOI!$F$5:$F$10004,HANG_LOI!$A$5:$A$10004,A9,HANG_LOI!$C$5:$C$10004,B9))</f>
        <v/>
      </c>
      <c r="AR9" s="25">
        <f>IF(OR(AQ9="",N(H9)=0),"",AQ9/H9)</f>
        <v/>
      </c>
      <c r="AS9" s="16">
        <f>IF($AJ9="","",IF(INDEX(NHAP_LIEU!$AI$5:$AI$10004,$AJ9)="","",INDEX(NHAP_LIEU!$AI$5:$AI$10004,$AJ9)))</f>
        <v/>
      </c>
      <c r="AT9" s="21">
        <f>IF($AJ9="","",IF(INDEX(NHAP_LIEU!$AJ$5:$AJ$10004,$AJ9)="","",INDEX(NHAP_LIEU!$AJ$5:$AJ$10004,$AJ9)))</f>
        <v/>
      </c>
    </row>
    <row r="10">
      <c r="A10" s="31">
        <f>IF(B10="","",$M$1)</f>
        <v/>
      </c>
      <c r="B10" s="16">
        <f>IF(DANH_SACH_CHUYEN!B10="","",DANH_SACH_CHUYEN!B10)</f>
        <v/>
      </c>
      <c r="C10" s="26">
        <f>IF($AJ10="","",IF(INDEX(NHAP_LIEU!$C$5:$C$10004,$AJ10)="","",INDEX(NHAP_LIEU!$C$5:$C$10004,$AJ10)))</f>
        <v/>
      </c>
      <c r="D10" s="16">
        <f>IF($AJ10="","",IF(INDEX(NHAP_LIEU!$D$5:$D$10004,$AJ10)="","",INDEX(NHAP_LIEU!$D$5:$D$10004,$AJ10)))</f>
        <v/>
      </c>
      <c r="E10" s="13">
        <f>IF(D10="","",IFERROR(INDEX(CAU_HINH_CA!$C$5:$C$50,MATCH(D10,CAU_HINH_CA!$A$5:$A$50,0)),""))</f>
        <v/>
      </c>
      <c r="F10" s="18">
        <f>IF($AJ10="","",IF(INDEX(NHAP_LIEU!$E$5:$E$10004,$AJ10)="","",INDEX(NHAP_LIEU!$E$5:$E$10004,$AJ10)))</f>
        <v/>
      </c>
      <c r="G10" s="18">
        <f>IF(OR(E10="",F10=""),"",ROUND(E10*F10,0))</f>
        <v/>
      </c>
      <c r="H10" s="18">
        <f>IF(COUNT(V10:AG10)=0,"",SUM(V10:AG10))</f>
        <v/>
      </c>
      <c r="I10" s="19">
        <f>IF(OR(H10="",N(G10)=0),"",H10/G10)</f>
        <v/>
      </c>
      <c r="J10" s="20">
        <f>IF(OR(H10="",G10=""),"",H10-G10)</f>
        <v/>
      </c>
      <c r="K10" s="18">
        <f>IF(OR(H10="",G10=""),"",MAX(0,G10-H10))</f>
        <v/>
      </c>
      <c r="L10" s="21">
        <f>IF(AJ10="","",COUNT(V10:AG10))</f>
        <v/>
      </c>
      <c r="M10" s="18">
        <f>IF(OR(L10="",F10="",G10=""),"",MIN(G10,L10*F10))</f>
        <v/>
      </c>
      <c r="N10" s="19">
        <f>IF(OR(H10="",N(M10)=0),"",H10/M10)</f>
        <v/>
      </c>
      <c r="O10" s="22">
        <f>IF(OR(B10="",A10=""),"",IF(SUMPRODUCT(MAX((NHAP_LIEU!$B$5:$B$10004=B10)*(NHAP_LIEU!$A$5:$A$10004&lt;A10)*NHAP_LIEU!$A$5:$A$10004))=0,"",SUMPRODUCT(MAX((NHAP_LIEU!$B$5:$B$10004=B10)*(NHAP_LIEU!$A$5:$A$10004&lt;A10)*NHAP_LIEU!$A$5:$A$10004))))</f>
        <v/>
      </c>
      <c r="P10" s="18">
        <f>IF(AK10="","",IF(COUNT(INDEX(NHAP_LIEU!$H$5:$S$10004,AK10,0))=0,0,MAX(0,IFERROR(ROUND(INDEX(CAU_HINH_CA!$C$5:$C$50,MATCH(INDEX(NHAP_LIEU!$D$5:$D$10004,AK10),CAU_HINH_CA!$A$5:$A$50,0))*INDEX(NHAP_LIEU!$E$5:$E$10004,AK10),0),0)-SUM(INDEX(NHAP_LIEU!$H$5:$S$10004,AK10,0)))))</f>
        <v/>
      </c>
      <c r="Q10" s="18">
        <f>IF(C10="","",SUMIFS(MUC_TIEU_THANG!$C$5:$C$2004,MUC_TIEU_THANG!$B$5:$B$2004,C10,MUC_TIEU_THANG!$A$5:$A$2004,"&gt;="&amp;DATE(YEAR(A10),MONTH(A10),1),MUC_TIEU_THANG!$A$5:$A$2004,"&lt;"&amp;DATE(YEAR(A10),MONTH(A10)+1,1)))</f>
        <v/>
      </c>
      <c r="R10" s="18">
        <f>IF(C10="","",SUMPRODUCT((NHAP_LIEU!$C$5:$C$10004=C10)*(NHAP_LIEU!$A$5:$A$10004&gt;=DATE(YEAR(A10),MONTH(A10),1))*(NHAP_LIEU!$A$5:$A$10004&lt;=A10)*NHAP_LIEU!$H$5:$S$10004))</f>
        <v/>
      </c>
      <c r="S10" s="19">
        <f>IF(OR(R10="",N(Q10)=0),"",R10/Q10)</f>
        <v/>
      </c>
      <c r="T10" s="18">
        <f>IF(OR(R10="",N(Q10)=0),"",MAX(0,Q10-R10))</f>
        <v/>
      </c>
      <c r="U10" s="18">
        <f>IF(B10="","",SUMPRODUCT((NHAP_LIEU!$B$5:$B$10004=B10)*(NHAP_LIEU!$A$5:$A$10004&gt;=DATE(YEAR(A10),MONTH(A10),1))*(NHAP_LIEU!$A$5:$A$10004&lt;=A10)*NHAP_LIEU!$H$5:$S$10004))</f>
        <v/>
      </c>
      <c r="V10" s="18">
        <f>IF($AJ10="","",IF(INDEX(NHAP_LIEU!$H$5:$H$10004,$AJ10)="","",INDEX(NHAP_LIEU!$H$5:$H$10004,$AJ10)))</f>
        <v/>
      </c>
      <c r="W10" s="18">
        <f>IF($AJ10="","",IF(INDEX(NHAP_LIEU!$I$5:$I$10004,$AJ10)="","",INDEX(NHAP_LIEU!$I$5:$I$10004,$AJ10)))</f>
        <v/>
      </c>
      <c r="X10" s="18">
        <f>IF($AJ10="","",IF(INDEX(NHAP_LIEU!$J$5:$J$10004,$AJ10)="","",INDEX(NHAP_LIEU!$J$5:$J$10004,$AJ10)))</f>
        <v/>
      </c>
      <c r="Y10" s="18">
        <f>IF($AJ10="","",IF(INDEX(NHAP_LIEU!$K$5:$K$10004,$AJ10)="","",INDEX(NHAP_LIEU!$K$5:$K$10004,$AJ10)))</f>
        <v/>
      </c>
      <c r="Z10" s="18">
        <f>IF($AJ10="","",IF(INDEX(NHAP_LIEU!$L$5:$L$10004,$AJ10)="","",INDEX(NHAP_LIEU!$L$5:$L$10004,$AJ10)))</f>
        <v/>
      </c>
      <c r="AA10" s="18">
        <f>IF($AJ10="","",IF(INDEX(NHAP_LIEU!$M$5:$M$10004,$AJ10)="","",INDEX(NHAP_LIEU!$M$5:$M$10004,$AJ10)))</f>
        <v/>
      </c>
      <c r="AB10" s="18">
        <f>IF($AJ10="","",IF(INDEX(NHAP_LIEU!$N$5:$N$10004,$AJ10)="","",INDEX(NHAP_LIEU!$N$5:$N$10004,$AJ10)))</f>
        <v/>
      </c>
      <c r="AC10" s="18">
        <f>IF($AJ10="","",IF(INDEX(NHAP_LIEU!$O$5:$O$10004,$AJ10)="","",INDEX(NHAP_LIEU!$O$5:$O$10004,$AJ10)))</f>
        <v/>
      </c>
      <c r="AD10" s="18">
        <f>IF($AJ10="","",IF(INDEX(NHAP_LIEU!$P$5:$P$10004,$AJ10)="","",INDEX(NHAP_LIEU!$P$5:$P$10004,$AJ10)))</f>
        <v/>
      </c>
      <c r="AE10" s="18">
        <f>IF($AJ10="","",IF(INDEX(NHAP_LIEU!$Q$5:$Q$10004,$AJ10)="","",INDEX(NHAP_LIEU!$Q$5:$Q$10004,$AJ10)))</f>
        <v/>
      </c>
      <c r="AF10" s="18">
        <f>IF($AJ10="","",IF(INDEX(NHAP_LIEU!$R$5:$R$10004,$AJ10)="","",INDEX(NHAP_LIEU!$R$5:$R$10004,$AJ10)))</f>
        <v/>
      </c>
      <c r="AG10" s="18">
        <f>IF($AJ10="","",IF(INDEX(NHAP_LIEU!$S$5:$S$10004,$AJ10)="","",INDEX(NHAP_LIEU!$S$5:$S$10004,$AJ10)))</f>
        <v/>
      </c>
      <c r="AH10" s="16">
        <f>IF($AJ10="","",IF(INDEX(NHAP_LIEU!$AC$5:$AC$10004,$AJ10)="","",INDEX(NHAP_LIEU!$AC$5:$AC$10004,$AJ10)))</f>
        <v/>
      </c>
      <c r="AI10" s="16">
        <f>IF($AJ10="","",IF(INDEX(NHAP_LIEU!$AD$5:$AD$10004,$AJ10)="","",INDEX(NHAP_LIEU!$AD$5:$AD$10004,$AJ10)))</f>
        <v/>
      </c>
      <c r="AJ10" s="21">
        <f>IF(OR(B10="",A10=""),"",IFERROR(MATCH(1,INDEX((NHAP_LIEU!$A$5:$A$10004=A10)*(NHAP_LIEU!$B$5:$B$10004=B10),0),0),""))</f>
        <v/>
      </c>
      <c r="AK10" s="21">
        <f>IF(O10="","",IFERROR(MATCH(1,INDEX((NHAP_LIEU!$A$5:$A$10004=O10)*(NHAP_LIEU!$B$5:$B$10004=B10),0),0),""))</f>
        <v/>
      </c>
      <c r="AL10" s="18">
        <f>IF(C10="","",SUMIFS(MUC_TIEU_THANG!$K$5:$K$2004,MUC_TIEU_THANG!$B$5:$B$2004,C10,MUC_TIEU_THANG!$A$5:$A$2004,"&gt;="&amp;DATE(YEAR(A10),MONTH(A10),1),MUC_TIEU_THANG!$A$5:$A$2004,"&lt;"&amp;DATE(YEAR(A10),MONTH(A10)+1,1)))</f>
        <v/>
      </c>
      <c r="AM10" s="21">
        <f>IF(A10="","",MAX(0,NETWORKDAYS.INTL(A10,EOMONTH(A10,0),11)-SUMPRODUCT((LICH_LAM_VIEC!$A$5:$A$1000&gt;=A10)*(LICH_LAM_VIEC!$A$5:$A$1000&lt;=EOMONTH(A10,0))*(LICH_LAM_VIEC!$B$5:$B$1000="Nghỉ")*(WEEKDAY(LICH_LAM_VIEC!$A$5:$A$1000)&lt;&gt;1))+SUMPRODUCT((LICH_LAM_VIEC!$A$5:$A$1000&gt;=A10)*(LICH_LAM_VIEC!$A$5:$A$1000&lt;=EOMONTH(A10,0))*(LICH_LAM_VIEC!$B$5:$B$1000="Làm bù")*(WEEKDAY(LICH_LAM_VIEC!$A$5:$A$1000)=1))))</f>
        <v/>
      </c>
      <c r="AN10" s="18">
        <f>IF(OR(C10="",N(Q10)=0,N(AM10)=0),"",ROUNDUP(MAX(0,Q10-SUMPRODUCT((NHAP_LIEU!$C$5:$C$10004=C10)*(NHAP_LIEU!$A$5:$A$10004&gt;=DATE(YEAR(A10),MONTH(A10),1))*(NHAP_LIEU!$A$5:$A$10004&lt;A10)*NHAP_LIEU!$H$5:$S$10004))/AM10,0))</f>
        <v/>
      </c>
      <c r="AO10" s="21">
        <f>IF($AJ10="","",IF(INDEX(NHAP_LIEU!$AG$5:$AG$10004,$AJ10)="","",INDEX(NHAP_LIEU!$AG$5:$AG$10004,$AJ10)))</f>
        <v/>
      </c>
      <c r="AP10" s="24">
        <f>IF(OR(H10="",N(AO10)=0,N(L10)=0),"",H10/(AO10*L10))</f>
        <v/>
      </c>
      <c r="AQ10" s="18">
        <f>IF(OR(B10="",A10="",COUNTIFS(HANG_LOI!$A$5:$A$10004,A10,HANG_LOI!$C$5:$C$10004,B10)=0),"",SUMIFS(HANG_LOI!$F$5:$F$10004,HANG_LOI!$A$5:$A$10004,A10,HANG_LOI!$C$5:$C$10004,B10))</f>
        <v/>
      </c>
      <c r="AR10" s="25">
        <f>IF(OR(AQ10="",N(H10)=0),"",AQ10/H10)</f>
        <v/>
      </c>
      <c r="AS10" s="16">
        <f>IF($AJ10="","",IF(INDEX(NHAP_LIEU!$AI$5:$AI$10004,$AJ10)="","",INDEX(NHAP_LIEU!$AI$5:$AI$10004,$AJ10)))</f>
        <v/>
      </c>
      <c r="AT10" s="21">
        <f>IF($AJ10="","",IF(INDEX(NHAP_LIEU!$AJ$5:$AJ$10004,$AJ10)="","",INDEX(NHAP_LIEU!$AJ$5:$AJ$10004,$AJ10)))</f>
        <v/>
      </c>
    </row>
    <row r="12">
      <c r="A12" s="32">
        <f>$M$1</f>
        <v/>
      </c>
      <c r="B12" s="33" t="inlineStr">
        <is>
          <t>TỔNG CỘNG</t>
        </is>
      </c>
      <c r="C12" s="34" t="n"/>
      <c r="D12" s="33" t="n"/>
      <c r="E12" s="35" t="n"/>
      <c r="F12" s="36" t="n"/>
      <c r="G12" s="36">
        <f>IF(COUNT(G5:G10)=0,"",SUM(G5:G10))</f>
        <v/>
      </c>
      <c r="H12" s="36">
        <f>IF(COUNT(H5:H10)=0,"",SUM(H5:H10))</f>
        <v/>
      </c>
      <c r="I12" s="37">
        <f>IF(OR(H12="",N(G12)=0),"",H12/G12)</f>
        <v/>
      </c>
      <c r="J12" s="38">
        <f>IF(COUNT(J5:J10)=0,"",SUM(J5:J10))</f>
        <v/>
      </c>
      <c r="K12" s="36">
        <f>IF(COUNT(K5:K10)=0,"",SUM(K5:K10))</f>
        <v/>
      </c>
      <c r="L12" s="39" t="n"/>
      <c r="M12" s="36">
        <f>IF(COUNT(M5:M10)=0,"",SUM(M5:M10))</f>
        <v/>
      </c>
      <c r="N12" s="37">
        <f>IF(OR(H12="",N(M12)=0),"",H12/M12)</f>
        <v/>
      </c>
      <c r="O12" s="40" t="n"/>
      <c r="P12" s="36">
        <f>IF(COUNT(P5:P10)=0,"",SUM(P5:P10))</f>
        <v/>
      </c>
      <c r="Q12" s="36" t="n"/>
      <c r="R12" s="36" t="n"/>
      <c r="S12" s="37" t="n"/>
      <c r="T12" s="36" t="n"/>
      <c r="U12" s="36">
        <f>IF(COUNT(U5:U10)=0,"",SUM(U5:U10))</f>
        <v/>
      </c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3" t="n"/>
      <c r="AI12" s="33" t="n"/>
      <c r="AJ12" s="39" t="n"/>
      <c r="AK12" s="39" t="n"/>
      <c r="AL12" s="36" t="n"/>
      <c r="AM12" s="39" t="n"/>
      <c r="AN12" s="36" t="n"/>
      <c r="AO12" s="39">
        <f>IF(COUNT(AO5:AO10)=0,"",SUM(AO5:AO10))</f>
        <v/>
      </c>
      <c r="AP12" s="41">
        <f>IF(SUMPRODUCT(AO5:AO10,L5:L10)=0,"",H12/SUMPRODUCT(AO5:AO10,L5:L10))</f>
        <v/>
      </c>
      <c r="AQ12" s="36">
        <f>IF(COUNT(AQ5:AQ10)=0,"",SUM(AQ5:AQ10))</f>
        <v/>
      </c>
      <c r="AR12" s="42">
        <f>IF(OR(AQ12="",N(H12)=0),"",AQ12/H12)</f>
        <v/>
      </c>
      <c r="AS12" s="33" t="n"/>
      <c r="AT12" s="39">
        <f>IF(COUNT(AT5:AT10)=0,"",SUM(AT5:AT10))</f>
        <v/>
      </c>
    </row>
  </sheetData>
  <mergeCells count="3">
    <mergeCell ref="A1:E1"/>
    <mergeCell ref="G1:I1"/>
    <mergeCell ref="K1:L1"/>
  </mergeCells>
  <conditionalFormatting sqref="I5:I12">
    <cfRule type="expression" priority="1" dxfId="2">
      <formula>AND(ISNUMBER(I5),I5&lt;1)</formula>
    </cfRule>
    <cfRule type="expression" priority="2" dxfId="3">
      <formula>AND(ISNUMBER(I5),I5&gt;=1)</formula>
    </cfRule>
  </conditionalFormatting>
  <conditionalFormatting sqref="N5:N12">
    <cfRule type="expression" priority="3" dxfId="2">
      <formula>AND(ISNUMBER(N5),N5&lt;1)</formula>
    </cfRule>
    <cfRule type="expression" priority="4" dxfId="3">
      <formula>AND(ISNUMBER(N5),N5&gt;=1)</formula>
    </cfRule>
  </conditionalFormatting>
  <conditionalFormatting sqref="S5:S12">
    <cfRule type="expression" priority="5" dxfId="2">
      <formula>AND(ISNUMBER(S5),S5&lt;1)</formula>
    </cfRule>
    <cfRule type="expression" priority="6" dxfId="3">
      <formula>AND(ISNUMBER(S5),S5&gt;=1)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13" customWidth="1" min="33" max="33"/>
    <col width="13" customWidth="1" min="34" max="34"/>
    <col width="13" customWidth="1" min="35" max="35"/>
  </cols>
  <sheetData>
    <row r="1" ht="28" customHeight="1">
      <c r="A1" s="43" t="inlineStr">
        <is>
          <t>月度報告 / BÁO CÁO THÁNG THEO CHUYỀN</t>
        </is>
      </c>
    </row>
    <row r="2">
      <c r="A2" s="44" t="inlineStr">
        <is>
          <t>CHỌN THÁNG (trống = tháng mới nhất):</t>
        </is>
      </c>
      <c r="F2" s="45" t="n"/>
      <c r="H2" s="44" t="inlineStr">
        <is>
          <t>ĐANG XEM:</t>
        </is>
      </c>
      <c r="J2" s="46">
        <f>IF(F2&lt;&gt;"",DATE(YEAR(F2),MONTH(F2),1),DATE(YEAR(MAX(NHAP_LIEU!$A$5:$A$10004)),MONTH(MAX(NHAP_LIEU!$A$5:$A$10004)),1))</f>
        <v/>
      </c>
    </row>
    <row r="4">
      <c r="A4" s="44" t="inlineStr">
        <is>
          <t>1. SẢN LƯỢNG THỰC TẾ THEO NGÀY</t>
        </is>
      </c>
    </row>
    <row r="5" ht="30" customHeight="1">
      <c r="A5" s="9" t="inlineStr">
        <is>
          <t>CHUYỀN</t>
        </is>
      </c>
      <c r="B5" s="9">
        <f>IF(MONTH($J$2+1-1)=MONTH($J$2),1,"")</f>
        <v/>
      </c>
      <c r="C5" s="9">
        <f>IF(MONTH($J$2+2-1)=MONTH($J$2),2,"")</f>
        <v/>
      </c>
      <c r="D5" s="9">
        <f>IF(MONTH($J$2+3-1)=MONTH($J$2),3,"")</f>
        <v/>
      </c>
      <c r="E5" s="9">
        <f>IF(MONTH($J$2+4-1)=MONTH($J$2),4,"")</f>
        <v/>
      </c>
      <c r="F5" s="9">
        <f>IF(MONTH($J$2+5-1)=MONTH($J$2),5,"")</f>
        <v/>
      </c>
      <c r="G5" s="9">
        <f>IF(MONTH($J$2+6-1)=MONTH($J$2),6,"")</f>
        <v/>
      </c>
      <c r="H5" s="9">
        <f>IF(MONTH($J$2+7-1)=MONTH($J$2),7,"")</f>
        <v/>
      </c>
      <c r="I5" s="9">
        <f>IF(MONTH($J$2+8-1)=MONTH($J$2),8,"")</f>
        <v/>
      </c>
      <c r="J5" s="9">
        <f>IF(MONTH($J$2+9-1)=MONTH($J$2),9,"")</f>
        <v/>
      </c>
      <c r="K5" s="9">
        <f>IF(MONTH($J$2+10-1)=MONTH($J$2),10,"")</f>
        <v/>
      </c>
      <c r="L5" s="9">
        <f>IF(MONTH($J$2+11-1)=MONTH($J$2),11,"")</f>
        <v/>
      </c>
      <c r="M5" s="9">
        <f>IF(MONTH($J$2+12-1)=MONTH($J$2),12,"")</f>
        <v/>
      </c>
      <c r="N5" s="9">
        <f>IF(MONTH($J$2+13-1)=MONTH($J$2),13,"")</f>
        <v/>
      </c>
      <c r="O5" s="9">
        <f>IF(MONTH($J$2+14-1)=MONTH($J$2),14,"")</f>
        <v/>
      </c>
      <c r="P5" s="9">
        <f>IF(MONTH($J$2+15-1)=MONTH($J$2),15,"")</f>
        <v/>
      </c>
      <c r="Q5" s="9">
        <f>IF(MONTH($J$2+16-1)=MONTH($J$2),16,"")</f>
        <v/>
      </c>
      <c r="R5" s="9">
        <f>IF(MONTH($J$2+17-1)=MONTH($J$2),17,"")</f>
        <v/>
      </c>
      <c r="S5" s="9">
        <f>IF(MONTH($J$2+18-1)=MONTH($J$2),18,"")</f>
        <v/>
      </c>
      <c r="T5" s="9">
        <f>IF(MONTH($J$2+19-1)=MONTH($J$2),19,"")</f>
        <v/>
      </c>
      <c r="U5" s="9">
        <f>IF(MONTH($J$2+20-1)=MONTH($J$2),20,"")</f>
        <v/>
      </c>
      <c r="V5" s="9">
        <f>IF(MONTH($J$2+21-1)=MONTH($J$2),21,"")</f>
        <v/>
      </c>
      <c r="W5" s="9">
        <f>IF(MONTH($J$2+22-1)=MONTH($J$2),22,"")</f>
        <v/>
      </c>
      <c r="X5" s="9">
        <f>IF(MONTH($J$2+23-1)=MONTH($J$2),23,"")</f>
        <v/>
      </c>
      <c r="Y5" s="9">
        <f>IF(MONTH($J$2+24-1)=MONTH($J$2),24,"")</f>
        <v/>
      </c>
      <c r="Z5" s="9">
        <f>IF(MONTH($J$2+25-1)=MONTH($J$2),25,"")</f>
        <v/>
      </c>
      <c r="AA5" s="9">
        <f>IF(MONTH($J$2+26-1)=MONTH($J$2),26,"")</f>
        <v/>
      </c>
      <c r="AB5" s="9">
        <f>IF(MONTH($J$2+27-1)=MONTH($J$2),27,"")</f>
        <v/>
      </c>
      <c r="AC5" s="9">
        <f>IF(MONTH($J$2+28-1)=MONTH($J$2),28,"")</f>
        <v/>
      </c>
      <c r="AD5" s="9">
        <f>IF(MONTH($J$2+29-1)=MONTH($J$2),29,"")</f>
        <v/>
      </c>
      <c r="AE5" s="9">
        <f>IF(MONTH($J$2+30-1)=MONTH($J$2),30,"")</f>
        <v/>
      </c>
      <c r="AF5" s="9">
        <f>IF(MONTH($J$2+31-1)=MONTH($J$2),31,"")</f>
        <v/>
      </c>
      <c r="AG5" s="9" t="inlineStr">
        <is>
          <t>TỔNG THÁNG</t>
        </is>
      </c>
      <c r="AH5" s="9" t="inlineStr">
        <is>
          <t>MỤC TIÊU (ngày đã làm)</t>
        </is>
      </c>
      <c r="AI5" s="9" t="inlineStr">
        <is>
          <t>% ĐẠT</t>
        </is>
      </c>
    </row>
    <row r="6">
      <c r="A6" s="47">
        <f>IF(DANH_SACH_CHUYEN!B5="","",DANH_SACH_CHUYEN!B5)</f>
        <v/>
      </c>
      <c r="B6" s="18">
        <f>IF(OR($A6="",MONTH(($J$2+2-2))&lt;&gt;MONTH($J$2)),"",IFERROR(IF(COUNT(INDEX(NHAP_LIEU!$H$5:$S$10004,MATCH(1,INDEX((NHAP_LIEU!$A$5:$A$10004=($J$2+2-2))*(NHAP_LIEU!$B$5:$B$10004=$A6),0),0),0))=0,"",SUM(INDEX(NHAP_LIEU!$H$5:$S$10004,MATCH(1,INDEX((NHAP_LIEU!$A$5:$A$10004=($J$2+2-2))*(NHAP_LIEU!$B$5:$B$10004=$A6),0),0),0))),""))</f>
        <v/>
      </c>
      <c r="C6" s="18">
        <f>IF(OR($A6="",MONTH(($J$2+3-2))&lt;&gt;MONTH($J$2)),"",IFERROR(IF(COUNT(INDEX(NHAP_LIEU!$H$5:$S$10004,MATCH(1,INDEX((NHAP_LIEU!$A$5:$A$10004=($J$2+3-2))*(NHAP_LIEU!$B$5:$B$10004=$A6),0),0),0))=0,"",SUM(INDEX(NHAP_LIEU!$H$5:$S$10004,MATCH(1,INDEX((NHAP_LIEU!$A$5:$A$10004=($J$2+3-2))*(NHAP_LIEU!$B$5:$B$10004=$A6),0),0),0))),""))</f>
        <v/>
      </c>
      <c r="D6" s="18">
        <f>IF(OR($A6="",MONTH(($J$2+4-2))&lt;&gt;MONTH($J$2)),"",IFERROR(IF(COUNT(INDEX(NHAP_LIEU!$H$5:$S$10004,MATCH(1,INDEX((NHAP_LIEU!$A$5:$A$10004=($J$2+4-2))*(NHAP_LIEU!$B$5:$B$10004=$A6),0),0),0))=0,"",SUM(INDEX(NHAP_LIEU!$H$5:$S$10004,MATCH(1,INDEX((NHAP_LIEU!$A$5:$A$10004=($J$2+4-2))*(NHAP_LIEU!$B$5:$B$10004=$A6),0),0),0))),""))</f>
        <v/>
      </c>
      <c r="E6" s="18">
        <f>IF(OR($A6="",MONTH(($J$2+5-2))&lt;&gt;MONTH($J$2)),"",IFERROR(IF(COUNT(INDEX(NHAP_LIEU!$H$5:$S$10004,MATCH(1,INDEX((NHAP_LIEU!$A$5:$A$10004=($J$2+5-2))*(NHAP_LIEU!$B$5:$B$10004=$A6),0),0),0))=0,"",SUM(INDEX(NHAP_LIEU!$H$5:$S$10004,MATCH(1,INDEX((NHAP_LIEU!$A$5:$A$10004=($J$2+5-2))*(NHAP_LIEU!$B$5:$B$10004=$A6),0),0),0))),""))</f>
        <v/>
      </c>
      <c r="F6" s="18">
        <f>IF(OR($A6="",MONTH(($J$2+6-2))&lt;&gt;MONTH($J$2)),"",IFERROR(IF(COUNT(INDEX(NHAP_LIEU!$H$5:$S$10004,MATCH(1,INDEX((NHAP_LIEU!$A$5:$A$10004=($J$2+6-2))*(NHAP_LIEU!$B$5:$B$10004=$A6),0),0),0))=0,"",SUM(INDEX(NHAP_LIEU!$H$5:$S$10004,MATCH(1,INDEX((NHAP_LIEU!$A$5:$A$10004=($J$2+6-2))*(NHAP_LIEU!$B$5:$B$10004=$A6),0),0),0))),""))</f>
        <v/>
      </c>
      <c r="G6" s="18">
        <f>IF(OR($A6="",MONTH(($J$2+7-2))&lt;&gt;MONTH($J$2)),"",IFERROR(IF(COUNT(INDEX(NHAP_LIEU!$H$5:$S$10004,MATCH(1,INDEX((NHAP_LIEU!$A$5:$A$10004=($J$2+7-2))*(NHAP_LIEU!$B$5:$B$10004=$A6),0),0),0))=0,"",SUM(INDEX(NHAP_LIEU!$H$5:$S$10004,MATCH(1,INDEX((NHAP_LIEU!$A$5:$A$10004=($J$2+7-2))*(NHAP_LIEU!$B$5:$B$10004=$A6),0),0),0))),""))</f>
        <v/>
      </c>
      <c r="H6" s="18">
        <f>IF(OR($A6="",MONTH(($J$2+8-2))&lt;&gt;MONTH($J$2)),"",IFERROR(IF(COUNT(INDEX(NHAP_LIEU!$H$5:$S$10004,MATCH(1,INDEX((NHAP_LIEU!$A$5:$A$10004=($J$2+8-2))*(NHAP_LIEU!$B$5:$B$10004=$A6),0),0),0))=0,"",SUM(INDEX(NHAP_LIEU!$H$5:$S$10004,MATCH(1,INDEX((NHAP_LIEU!$A$5:$A$10004=($J$2+8-2))*(NHAP_LIEU!$B$5:$B$10004=$A6),0),0),0))),""))</f>
        <v/>
      </c>
      <c r="I6" s="18">
        <f>IF(OR($A6="",MONTH(($J$2+9-2))&lt;&gt;MONTH($J$2)),"",IFERROR(IF(COUNT(INDEX(NHAP_LIEU!$H$5:$S$10004,MATCH(1,INDEX((NHAP_LIEU!$A$5:$A$10004=($J$2+9-2))*(NHAP_LIEU!$B$5:$B$10004=$A6),0),0),0))=0,"",SUM(INDEX(NHAP_LIEU!$H$5:$S$10004,MATCH(1,INDEX((NHAP_LIEU!$A$5:$A$10004=($J$2+9-2))*(NHAP_LIEU!$B$5:$B$10004=$A6),0),0),0))),""))</f>
        <v/>
      </c>
      <c r="J6" s="18">
        <f>IF(OR($A6="",MONTH(($J$2+10-2))&lt;&gt;MONTH($J$2)),"",IFERROR(IF(COUNT(INDEX(NHAP_LIEU!$H$5:$S$10004,MATCH(1,INDEX((NHAP_LIEU!$A$5:$A$10004=($J$2+10-2))*(NHAP_LIEU!$B$5:$B$10004=$A6),0),0),0))=0,"",SUM(INDEX(NHAP_LIEU!$H$5:$S$10004,MATCH(1,INDEX((NHAP_LIEU!$A$5:$A$10004=($J$2+10-2))*(NHAP_LIEU!$B$5:$B$10004=$A6),0),0),0))),""))</f>
        <v/>
      </c>
      <c r="K6" s="18">
        <f>IF(OR($A6="",MONTH(($J$2+11-2))&lt;&gt;MONTH($J$2)),"",IFERROR(IF(COUNT(INDEX(NHAP_LIEU!$H$5:$S$10004,MATCH(1,INDEX((NHAP_LIEU!$A$5:$A$10004=($J$2+11-2))*(NHAP_LIEU!$B$5:$B$10004=$A6),0),0),0))=0,"",SUM(INDEX(NHAP_LIEU!$H$5:$S$10004,MATCH(1,INDEX((NHAP_LIEU!$A$5:$A$10004=($J$2+11-2))*(NHAP_LIEU!$B$5:$B$10004=$A6),0),0),0))),""))</f>
        <v/>
      </c>
      <c r="L6" s="18">
        <f>IF(OR($A6="",MONTH(($J$2+12-2))&lt;&gt;MONTH($J$2)),"",IFERROR(IF(COUNT(INDEX(NHAP_LIEU!$H$5:$S$10004,MATCH(1,INDEX((NHAP_LIEU!$A$5:$A$10004=($J$2+12-2))*(NHAP_LIEU!$B$5:$B$10004=$A6),0),0),0))=0,"",SUM(INDEX(NHAP_LIEU!$H$5:$S$10004,MATCH(1,INDEX((NHAP_LIEU!$A$5:$A$10004=($J$2+12-2))*(NHAP_LIEU!$B$5:$B$10004=$A6),0),0),0))),""))</f>
        <v/>
      </c>
      <c r="M6" s="18">
        <f>IF(OR($A6="",MONTH(($J$2+13-2))&lt;&gt;MONTH($J$2)),"",IFERROR(IF(COUNT(INDEX(NHAP_LIEU!$H$5:$S$10004,MATCH(1,INDEX((NHAP_LIEU!$A$5:$A$10004=($J$2+13-2))*(NHAP_LIEU!$B$5:$B$10004=$A6),0),0),0))=0,"",SUM(INDEX(NHAP_LIEU!$H$5:$S$10004,MATCH(1,INDEX((NHAP_LIEU!$A$5:$A$10004=($J$2+13-2))*(NHAP_LIEU!$B$5:$B$10004=$A6),0),0),0))),""))</f>
        <v/>
      </c>
      <c r="N6" s="18">
        <f>IF(OR($A6="",MONTH(($J$2+14-2))&lt;&gt;MONTH($J$2)),"",IFERROR(IF(COUNT(INDEX(NHAP_LIEU!$H$5:$S$10004,MATCH(1,INDEX((NHAP_LIEU!$A$5:$A$10004=($J$2+14-2))*(NHAP_LIEU!$B$5:$B$10004=$A6),0),0),0))=0,"",SUM(INDEX(NHAP_LIEU!$H$5:$S$10004,MATCH(1,INDEX((NHAP_LIEU!$A$5:$A$10004=($J$2+14-2))*(NHAP_LIEU!$B$5:$B$10004=$A6),0),0),0))),""))</f>
        <v/>
      </c>
      <c r="O6" s="18">
        <f>IF(OR($A6="",MONTH(($J$2+15-2))&lt;&gt;MONTH($J$2)),"",IFERROR(IF(COUNT(INDEX(NHAP_LIEU!$H$5:$S$10004,MATCH(1,INDEX((NHAP_LIEU!$A$5:$A$10004=($J$2+15-2))*(NHAP_LIEU!$B$5:$B$10004=$A6),0),0),0))=0,"",SUM(INDEX(NHAP_LIEU!$H$5:$S$10004,MATCH(1,INDEX((NHAP_LIEU!$A$5:$A$10004=($J$2+15-2))*(NHAP_LIEU!$B$5:$B$10004=$A6),0),0),0))),""))</f>
        <v/>
      </c>
      <c r="P6" s="18">
        <f>IF(OR($A6="",MONTH(($J$2+16-2))&lt;&gt;MONTH($J$2)),"",IFERROR(IF(COUNT(INDEX(NHAP_LIEU!$H$5:$S$10004,MATCH(1,INDEX((NHAP_LIEU!$A$5:$A$10004=($J$2+16-2))*(NHAP_LIEU!$B$5:$B$10004=$A6),0),0),0))=0,"",SUM(INDEX(NHAP_LIEU!$H$5:$S$10004,MATCH(1,INDEX((NHAP_LIEU!$A$5:$A$10004=($J$2+16-2))*(NHAP_LIEU!$B$5:$B$10004=$A6),0),0),0))),""))</f>
        <v/>
      </c>
      <c r="Q6" s="18">
        <f>IF(OR($A6="",MONTH(($J$2+17-2))&lt;&gt;MONTH($J$2)),"",IFERROR(IF(COUNT(INDEX(NHAP_LIEU!$H$5:$S$10004,MATCH(1,INDEX((NHAP_LIEU!$A$5:$A$10004=($J$2+17-2))*(NHAP_LIEU!$B$5:$B$10004=$A6),0),0),0))=0,"",SUM(INDEX(NHAP_LIEU!$H$5:$S$10004,MATCH(1,INDEX((NHAP_LIEU!$A$5:$A$10004=($J$2+17-2))*(NHAP_LIEU!$B$5:$B$10004=$A6),0),0),0))),""))</f>
        <v/>
      </c>
      <c r="R6" s="18">
        <f>IF(OR($A6="",MONTH(($J$2+18-2))&lt;&gt;MONTH($J$2)),"",IFERROR(IF(COUNT(INDEX(NHAP_LIEU!$H$5:$S$10004,MATCH(1,INDEX((NHAP_LIEU!$A$5:$A$10004=($J$2+18-2))*(NHAP_LIEU!$B$5:$B$10004=$A6),0),0),0))=0,"",SUM(INDEX(NHAP_LIEU!$H$5:$S$10004,MATCH(1,INDEX((NHAP_LIEU!$A$5:$A$10004=($J$2+18-2))*(NHAP_LIEU!$B$5:$B$10004=$A6),0),0),0))),""))</f>
        <v/>
      </c>
      <c r="S6" s="18">
        <f>IF(OR($A6="",MONTH(($J$2+19-2))&lt;&gt;MONTH($J$2)),"",IFERROR(IF(COUNT(INDEX(NHAP_LIEU!$H$5:$S$10004,MATCH(1,INDEX((NHAP_LIEU!$A$5:$A$10004=($J$2+19-2))*(NHAP_LIEU!$B$5:$B$10004=$A6),0),0),0))=0,"",SUM(INDEX(NHAP_LIEU!$H$5:$S$10004,MATCH(1,INDEX((NHAP_LIEU!$A$5:$A$10004=($J$2+19-2))*(NHAP_LIEU!$B$5:$B$10004=$A6),0),0),0))),""))</f>
        <v/>
      </c>
      <c r="T6" s="18">
        <f>IF(OR($A6="",MONTH(($J$2+20-2))&lt;&gt;MONTH($J$2)),"",IFERROR(IF(COUNT(INDEX(NHAP_LIEU!$H$5:$S$10004,MATCH(1,INDEX((NHAP_LIEU!$A$5:$A$10004=($J$2+20-2))*(NHAP_LIEU!$B$5:$B$10004=$A6),0),0),0))=0,"",SUM(INDEX(NHAP_LIEU!$H$5:$S$10004,MATCH(1,INDEX((NHAP_LIEU!$A$5:$A$10004=($J$2+20-2))*(NHAP_LIEU!$B$5:$B$10004=$A6),0),0),0))),""))</f>
        <v/>
      </c>
      <c r="U6" s="18">
        <f>IF(OR($A6="",MONTH(($J$2+21-2))&lt;&gt;MONTH($J$2)),"",IFERROR(IF(COUNT(INDEX(NHAP_LIEU!$H$5:$S$10004,MATCH(1,INDEX((NHAP_LIEU!$A$5:$A$10004=($J$2+21-2))*(NHAP_LIEU!$B$5:$B$10004=$A6),0),0),0))=0,"",SUM(INDEX(NHAP_LIEU!$H$5:$S$10004,MATCH(1,INDEX((NHAP_LIEU!$A$5:$A$10004=($J$2+21-2))*(NHAP_LIEU!$B$5:$B$10004=$A6),0),0),0))),""))</f>
        <v/>
      </c>
      <c r="V6" s="18">
        <f>IF(OR($A6="",MONTH(($J$2+22-2))&lt;&gt;MONTH($J$2)),"",IFERROR(IF(COUNT(INDEX(NHAP_LIEU!$H$5:$S$10004,MATCH(1,INDEX((NHAP_LIEU!$A$5:$A$10004=($J$2+22-2))*(NHAP_LIEU!$B$5:$B$10004=$A6),0),0),0))=0,"",SUM(INDEX(NHAP_LIEU!$H$5:$S$10004,MATCH(1,INDEX((NHAP_LIEU!$A$5:$A$10004=($J$2+22-2))*(NHAP_LIEU!$B$5:$B$10004=$A6),0),0),0))),""))</f>
        <v/>
      </c>
      <c r="W6" s="18">
        <f>IF(OR($A6="",MONTH(($J$2+23-2))&lt;&gt;MONTH($J$2)),"",IFERROR(IF(COUNT(INDEX(NHAP_LIEU!$H$5:$S$10004,MATCH(1,INDEX((NHAP_LIEU!$A$5:$A$10004=($J$2+23-2))*(NHAP_LIEU!$B$5:$B$10004=$A6),0),0),0))=0,"",SUM(INDEX(NHAP_LIEU!$H$5:$S$10004,MATCH(1,INDEX((NHAP_LIEU!$A$5:$A$10004=($J$2+23-2))*(NHAP_LIEU!$B$5:$B$10004=$A6),0),0),0))),""))</f>
        <v/>
      </c>
      <c r="X6" s="18">
        <f>IF(OR($A6="",MONTH(($J$2+24-2))&lt;&gt;MONTH($J$2)),"",IFERROR(IF(COUNT(INDEX(NHAP_LIEU!$H$5:$S$10004,MATCH(1,INDEX((NHAP_LIEU!$A$5:$A$10004=($J$2+24-2))*(NHAP_LIEU!$B$5:$B$10004=$A6),0),0),0))=0,"",SUM(INDEX(NHAP_LIEU!$H$5:$S$10004,MATCH(1,INDEX((NHAP_LIEU!$A$5:$A$10004=($J$2+24-2))*(NHAP_LIEU!$B$5:$B$10004=$A6),0),0),0))),""))</f>
        <v/>
      </c>
      <c r="Y6" s="18">
        <f>IF(OR($A6="",MONTH(($J$2+25-2))&lt;&gt;MONTH($J$2)),"",IFERROR(IF(COUNT(INDEX(NHAP_LIEU!$H$5:$S$10004,MATCH(1,INDEX((NHAP_LIEU!$A$5:$A$10004=($J$2+25-2))*(NHAP_LIEU!$B$5:$B$10004=$A6),0),0),0))=0,"",SUM(INDEX(NHAP_LIEU!$H$5:$S$10004,MATCH(1,INDEX((NHAP_LIEU!$A$5:$A$10004=($J$2+25-2))*(NHAP_LIEU!$B$5:$B$10004=$A6),0),0),0))),""))</f>
        <v/>
      </c>
      <c r="Z6" s="18">
        <f>IF(OR($A6="",MONTH(($J$2+26-2))&lt;&gt;MONTH($J$2)),"",IFERROR(IF(COUNT(INDEX(NHAP_LIEU!$H$5:$S$10004,MATCH(1,INDEX((NHAP_LIEU!$A$5:$A$10004=($J$2+26-2))*(NHAP_LIEU!$B$5:$B$10004=$A6),0),0),0))=0,"",SUM(INDEX(NHAP_LIEU!$H$5:$S$10004,MATCH(1,INDEX((NHAP_LIEU!$A$5:$A$10004=($J$2+26-2))*(NHAP_LIEU!$B$5:$B$10004=$A6),0),0),0))),""))</f>
        <v/>
      </c>
      <c r="AA6" s="18">
        <f>IF(OR($A6="",MONTH(($J$2+27-2))&lt;&gt;MONTH($J$2)),"",IFERROR(IF(COUNT(INDEX(NHAP_LIEU!$H$5:$S$10004,MATCH(1,INDEX((NHAP_LIEU!$A$5:$A$10004=($J$2+27-2))*(NHAP_LIEU!$B$5:$B$10004=$A6),0),0),0))=0,"",SUM(INDEX(NHAP_LIEU!$H$5:$S$10004,MATCH(1,INDEX((NHAP_LIEU!$A$5:$A$10004=($J$2+27-2))*(NHAP_LIEU!$B$5:$B$10004=$A6),0),0),0))),""))</f>
        <v/>
      </c>
      <c r="AB6" s="18">
        <f>IF(OR($A6="",MONTH(($J$2+28-2))&lt;&gt;MONTH($J$2)),"",IFERROR(IF(COUNT(INDEX(NHAP_LIEU!$H$5:$S$10004,MATCH(1,INDEX((NHAP_LIEU!$A$5:$A$10004=($J$2+28-2))*(NHAP_LIEU!$B$5:$B$10004=$A6),0),0),0))=0,"",SUM(INDEX(NHAP_LIEU!$H$5:$S$10004,MATCH(1,INDEX((NHAP_LIEU!$A$5:$A$10004=($J$2+28-2))*(NHAP_LIEU!$B$5:$B$10004=$A6),0),0),0))),""))</f>
        <v/>
      </c>
      <c r="AC6" s="18">
        <f>IF(OR($A6="",MONTH(($J$2+29-2))&lt;&gt;MONTH($J$2)),"",IFERROR(IF(COUNT(INDEX(NHAP_LIEU!$H$5:$S$10004,MATCH(1,INDEX((NHAP_LIEU!$A$5:$A$10004=($J$2+29-2))*(NHAP_LIEU!$B$5:$B$10004=$A6),0),0),0))=0,"",SUM(INDEX(NHAP_LIEU!$H$5:$S$10004,MATCH(1,INDEX((NHAP_LIEU!$A$5:$A$10004=($J$2+29-2))*(NHAP_LIEU!$B$5:$B$10004=$A6),0),0),0))),""))</f>
        <v/>
      </c>
      <c r="AD6" s="18">
        <f>IF(OR($A6="",MONTH(($J$2+30-2))&lt;&gt;MONTH($J$2)),"",IFERROR(IF(COUNT(INDEX(NHAP_LIEU!$H$5:$S$10004,MATCH(1,INDEX((NHAP_LIEU!$A$5:$A$10004=($J$2+30-2))*(NHAP_LIEU!$B$5:$B$10004=$A6),0),0),0))=0,"",SUM(INDEX(NHAP_LIEU!$H$5:$S$10004,MATCH(1,INDEX((NHAP_LIEU!$A$5:$A$10004=($J$2+30-2))*(NHAP_LIEU!$B$5:$B$10004=$A6),0),0),0))),""))</f>
        <v/>
      </c>
      <c r="AE6" s="18">
        <f>IF(OR($A6="",MONTH(($J$2+31-2))&lt;&gt;MONTH($J$2)),"",IFERROR(IF(COUNT(INDEX(NHAP_LIEU!$H$5:$S$10004,MATCH(1,INDEX((NHAP_LIEU!$A$5:$A$10004=($J$2+31-2))*(NHAP_LIEU!$B$5:$B$10004=$A6),0),0),0))=0,"",SUM(INDEX(NHAP_LIEU!$H$5:$S$10004,MATCH(1,INDEX((NHAP_LIEU!$A$5:$A$10004=($J$2+31-2))*(NHAP_LIEU!$B$5:$B$10004=$A6),0),0),0))),""))</f>
        <v/>
      </c>
      <c r="AF6" s="18">
        <f>IF(OR($A6="",MONTH(($J$2+32-2))&lt;&gt;MONTH($J$2)),"",IFERROR(IF(COUNT(INDEX(NHAP_LIEU!$H$5:$S$10004,MATCH(1,INDEX((NHAP_LIEU!$A$5:$A$10004=($J$2+32-2))*(NHAP_LIEU!$B$5:$B$10004=$A6),0),0),0))=0,"",SUM(INDEX(NHAP_LIEU!$H$5:$S$10004,MATCH(1,INDEX((NHAP_LIEU!$A$5:$A$10004=($J$2+32-2))*(NHAP_LIEU!$B$5:$B$10004=$A6),0),0),0))),""))</f>
        <v/>
      </c>
      <c r="AG6" s="48">
        <f>IF($A6="","",SUM(B6:AF6))</f>
        <v/>
      </c>
      <c r="AH6" s="18">
        <f>IF($A6="","",SUMPRODUCT((NHAP_LIEU!$B$5:$B$10004=$A6)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6" s="49">
        <f>IF(OR($A6="",N(AH6)=0),"",AG6/AH6)</f>
        <v/>
      </c>
    </row>
    <row r="7">
      <c r="A7" s="47">
        <f>IF(DANH_SACH_CHUYEN!B6="","",DANH_SACH_CHUYEN!B6)</f>
        <v/>
      </c>
      <c r="B7" s="18">
        <f>IF(OR($A7="",MONTH(($J$2+2-2))&lt;&gt;MONTH($J$2)),"",IFERROR(IF(COUNT(INDEX(NHAP_LIEU!$H$5:$S$10004,MATCH(1,INDEX((NHAP_LIEU!$A$5:$A$10004=($J$2+2-2))*(NHAP_LIEU!$B$5:$B$10004=$A7),0),0),0))=0,"",SUM(INDEX(NHAP_LIEU!$H$5:$S$10004,MATCH(1,INDEX((NHAP_LIEU!$A$5:$A$10004=($J$2+2-2))*(NHAP_LIEU!$B$5:$B$10004=$A7),0),0),0))),""))</f>
        <v/>
      </c>
      <c r="C7" s="18">
        <f>IF(OR($A7="",MONTH(($J$2+3-2))&lt;&gt;MONTH($J$2)),"",IFERROR(IF(COUNT(INDEX(NHAP_LIEU!$H$5:$S$10004,MATCH(1,INDEX((NHAP_LIEU!$A$5:$A$10004=($J$2+3-2))*(NHAP_LIEU!$B$5:$B$10004=$A7),0),0),0))=0,"",SUM(INDEX(NHAP_LIEU!$H$5:$S$10004,MATCH(1,INDEX((NHAP_LIEU!$A$5:$A$10004=($J$2+3-2))*(NHAP_LIEU!$B$5:$B$10004=$A7),0),0),0))),""))</f>
        <v/>
      </c>
      <c r="D7" s="18">
        <f>IF(OR($A7="",MONTH(($J$2+4-2))&lt;&gt;MONTH($J$2)),"",IFERROR(IF(COUNT(INDEX(NHAP_LIEU!$H$5:$S$10004,MATCH(1,INDEX((NHAP_LIEU!$A$5:$A$10004=($J$2+4-2))*(NHAP_LIEU!$B$5:$B$10004=$A7),0),0),0))=0,"",SUM(INDEX(NHAP_LIEU!$H$5:$S$10004,MATCH(1,INDEX((NHAP_LIEU!$A$5:$A$10004=($J$2+4-2))*(NHAP_LIEU!$B$5:$B$10004=$A7),0),0),0))),""))</f>
        <v/>
      </c>
      <c r="E7" s="18">
        <f>IF(OR($A7="",MONTH(($J$2+5-2))&lt;&gt;MONTH($J$2)),"",IFERROR(IF(COUNT(INDEX(NHAP_LIEU!$H$5:$S$10004,MATCH(1,INDEX((NHAP_LIEU!$A$5:$A$10004=($J$2+5-2))*(NHAP_LIEU!$B$5:$B$10004=$A7),0),0),0))=0,"",SUM(INDEX(NHAP_LIEU!$H$5:$S$10004,MATCH(1,INDEX((NHAP_LIEU!$A$5:$A$10004=($J$2+5-2))*(NHAP_LIEU!$B$5:$B$10004=$A7),0),0),0))),""))</f>
        <v/>
      </c>
      <c r="F7" s="18">
        <f>IF(OR($A7="",MONTH(($J$2+6-2))&lt;&gt;MONTH($J$2)),"",IFERROR(IF(COUNT(INDEX(NHAP_LIEU!$H$5:$S$10004,MATCH(1,INDEX((NHAP_LIEU!$A$5:$A$10004=($J$2+6-2))*(NHAP_LIEU!$B$5:$B$10004=$A7),0),0),0))=0,"",SUM(INDEX(NHAP_LIEU!$H$5:$S$10004,MATCH(1,INDEX((NHAP_LIEU!$A$5:$A$10004=($J$2+6-2))*(NHAP_LIEU!$B$5:$B$10004=$A7),0),0),0))),""))</f>
        <v/>
      </c>
      <c r="G7" s="18">
        <f>IF(OR($A7="",MONTH(($J$2+7-2))&lt;&gt;MONTH($J$2)),"",IFERROR(IF(COUNT(INDEX(NHAP_LIEU!$H$5:$S$10004,MATCH(1,INDEX((NHAP_LIEU!$A$5:$A$10004=($J$2+7-2))*(NHAP_LIEU!$B$5:$B$10004=$A7),0),0),0))=0,"",SUM(INDEX(NHAP_LIEU!$H$5:$S$10004,MATCH(1,INDEX((NHAP_LIEU!$A$5:$A$10004=($J$2+7-2))*(NHAP_LIEU!$B$5:$B$10004=$A7),0),0),0))),""))</f>
        <v/>
      </c>
      <c r="H7" s="18">
        <f>IF(OR($A7="",MONTH(($J$2+8-2))&lt;&gt;MONTH($J$2)),"",IFERROR(IF(COUNT(INDEX(NHAP_LIEU!$H$5:$S$10004,MATCH(1,INDEX((NHAP_LIEU!$A$5:$A$10004=($J$2+8-2))*(NHAP_LIEU!$B$5:$B$10004=$A7),0),0),0))=0,"",SUM(INDEX(NHAP_LIEU!$H$5:$S$10004,MATCH(1,INDEX((NHAP_LIEU!$A$5:$A$10004=($J$2+8-2))*(NHAP_LIEU!$B$5:$B$10004=$A7),0),0),0))),""))</f>
        <v/>
      </c>
      <c r="I7" s="18">
        <f>IF(OR($A7="",MONTH(($J$2+9-2))&lt;&gt;MONTH($J$2)),"",IFERROR(IF(COUNT(INDEX(NHAP_LIEU!$H$5:$S$10004,MATCH(1,INDEX((NHAP_LIEU!$A$5:$A$10004=($J$2+9-2))*(NHAP_LIEU!$B$5:$B$10004=$A7),0),0),0))=0,"",SUM(INDEX(NHAP_LIEU!$H$5:$S$10004,MATCH(1,INDEX((NHAP_LIEU!$A$5:$A$10004=($J$2+9-2))*(NHAP_LIEU!$B$5:$B$10004=$A7),0),0),0))),""))</f>
        <v/>
      </c>
      <c r="J7" s="18">
        <f>IF(OR($A7="",MONTH(($J$2+10-2))&lt;&gt;MONTH($J$2)),"",IFERROR(IF(COUNT(INDEX(NHAP_LIEU!$H$5:$S$10004,MATCH(1,INDEX((NHAP_LIEU!$A$5:$A$10004=($J$2+10-2))*(NHAP_LIEU!$B$5:$B$10004=$A7),0),0),0))=0,"",SUM(INDEX(NHAP_LIEU!$H$5:$S$10004,MATCH(1,INDEX((NHAP_LIEU!$A$5:$A$10004=($J$2+10-2))*(NHAP_LIEU!$B$5:$B$10004=$A7),0),0),0))),""))</f>
        <v/>
      </c>
      <c r="K7" s="18">
        <f>IF(OR($A7="",MONTH(($J$2+11-2))&lt;&gt;MONTH($J$2)),"",IFERROR(IF(COUNT(INDEX(NHAP_LIEU!$H$5:$S$10004,MATCH(1,INDEX((NHAP_LIEU!$A$5:$A$10004=($J$2+11-2))*(NHAP_LIEU!$B$5:$B$10004=$A7),0),0),0))=0,"",SUM(INDEX(NHAP_LIEU!$H$5:$S$10004,MATCH(1,INDEX((NHAP_LIEU!$A$5:$A$10004=($J$2+11-2))*(NHAP_LIEU!$B$5:$B$10004=$A7),0),0),0))),""))</f>
        <v/>
      </c>
      <c r="L7" s="18">
        <f>IF(OR($A7="",MONTH(($J$2+12-2))&lt;&gt;MONTH($J$2)),"",IFERROR(IF(COUNT(INDEX(NHAP_LIEU!$H$5:$S$10004,MATCH(1,INDEX((NHAP_LIEU!$A$5:$A$10004=($J$2+12-2))*(NHAP_LIEU!$B$5:$B$10004=$A7),0),0),0))=0,"",SUM(INDEX(NHAP_LIEU!$H$5:$S$10004,MATCH(1,INDEX((NHAP_LIEU!$A$5:$A$10004=($J$2+12-2))*(NHAP_LIEU!$B$5:$B$10004=$A7),0),0),0))),""))</f>
        <v/>
      </c>
      <c r="M7" s="18">
        <f>IF(OR($A7="",MONTH(($J$2+13-2))&lt;&gt;MONTH($J$2)),"",IFERROR(IF(COUNT(INDEX(NHAP_LIEU!$H$5:$S$10004,MATCH(1,INDEX((NHAP_LIEU!$A$5:$A$10004=($J$2+13-2))*(NHAP_LIEU!$B$5:$B$10004=$A7),0),0),0))=0,"",SUM(INDEX(NHAP_LIEU!$H$5:$S$10004,MATCH(1,INDEX((NHAP_LIEU!$A$5:$A$10004=($J$2+13-2))*(NHAP_LIEU!$B$5:$B$10004=$A7),0),0),0))),""))</f>
        <v/>
      </c>
      <c r="N7" s="18">
        <f>IF(OR($A7="",MONTH(($J$2+14-2))&lt;&gt;MONTH($J$2)),"",IFERROR(IF(COUNT(INDEX(NHAP_LIEU!$H$5:$S$10004,MATCH(1,INDEX((NHAP_LIEU!$A$5:$A$10004=($J$2+14-2))*(NHAP_LIEU!$B$5:$B$10004=$A7),0),0),0))=0,"",SUM(INDEX(NHAP_LIEU!$H$5:$S$10004,MATCH(1,INDEX((NHAP_LIEU!$A$5:$A$10004=($J$2+14-2))*(NHAP_LIEU!$B$5:$B$10004=$A7),0),0),0))),""))</f>
        <v/>
      </c>
      <c r="O7" s="18">
        <f>IF(OR($A7="",MONTH(($J$2+15-2))&lt;&gt;MONTH($J$2)),"",IFERROR(IF(COUNT(INDEX(NHAP_LIEU!$H$5:$S$10004,MATCH(1,INDEX((NHAP_LIEU!$A$5:$A$10004=($J$2+15-2))*(NHAP_LIEU!$B$5:$B$10004=$A7),0),0),0))=0,"",SUM(INDEX(NHAP_LIEU!$H$5:$S$10004,MATCH(1,INDEX((NHAP_LIEU!$A$5:$A$10004=($J$2+15-2))*(NHAP_LIEU!$B$5:$B$10004=$A7),0),0),0))),""))</f>
        <v/>
      </c>
      <c r="P7" s="18">
        <f>IF(OR($A7="",MONTH(($J$2+16-2))&lt;&gt;MONTH($J$2)),"",IFERROR(IF(COUNT(INDEX(NHAP_LIEU!$H$5:$S$10004,MATCH(1,INDEX((NHAP_LIEU!$A$5:$A$10004=($J$2+16-2))*(NHAP_LIEU!$B$5:$B$10004=$A7),0),0),0))=0,"",SUM(INDEX(NHAP_LIEU!$H$5:$S$10004,MATCH(1,INDEX((NHAP_LIEU!$A$5:$A$10004=($J$2+16-2))*(NHAP_LIEU!$B$5:$B$10004=$A7),0),0),0))),""))</f>
        <v/>
      </c>
      <c r="Q7" s="18">
        <f>IF(OR($A7="",MONTH(($J$2+17-2))&lt;&gt;MONTH($J$2)),"",IFERROR(IF(COUNT(INDEX(NHAP_LIEU!$H$5:$S$10004,MATCH(1,INDEX((NHAP_LIEU!$A$5:$A$10004=($J$2+17-2))*(NHAP_LIEU!$B$5:$B$10004=$A7),0),0),0))=0,"",SUM(INDEX(NHAP_LIEU!$H$5:$S$10004,MATCH(1,INDEX((NHAP_LIEU!$A$5:$A$10004=($J$2+17-2))*(NHAP_LIEU!$B$5:$B$10004=$A7),0),0),0))),""))</f>
        <v/>
      </c>
      <c r="R7" s="18">
        <f>IF(OR($A7="",MONTH(($J$2+18-2))&lt;&gt;MONTH($J$2)),"",IFERROR(IF(COUNT(INDEX(NHAP_LIEU!$H$5:$S$10004,MATCH(1,INDEX((NHAP_LIEU!$A$5:$A$10004=($J$2+18-2))*(NHAP_LIEU!$B$5:$B$10004=$A7),0),0),0))=0,"",SUM(INDEX(NHAP_LIEU!$H$5:$S$10004,MATCH(1,INDEX((NHAP_LIEU!$A$5:$A$10004=($J$2+18-2))*(NHAP_LIEU!$B$5:$B$10004=$A7),0),0),0))),""))</f>
        <v/>
      </c>
      <c r="S7" s="18">
        <f>IF(OR($A7="",MONTH(($J$2+19-2))&lt;&gt;MONTH($J$2)),"",IFERROR(IF(COUNT(INDEX(NHAP_LIEU!$H$5:$S$10004,MATCH(1,INDEX((NHAP_LIEU!$A$5:$A$10004=($J$2+19-2))*(NHAP_LIEU!$B$5:$B$10004=$A7),0),0),0))=0,"",SUM(INDEX(NHAP_LIEU!$H$5:$S$10004,MATCH(1,INDEX((NHAP_LIEU!$A$5:$A$10004=($J$2+19-2))*(NHAP_LIEU!$B$5:$B$10004=$A7),0),0),0))),""))</f>
        <v/>
      </c>
      <c r="T7" s="18">
        <f>IF(OR($A7="",MONTH(($J$2+20-2))&lt;&gt;MONTH($J$2)),"",IFERROR(IF(COUNT(INDEX(NHAP_LIEU!$H$5:$S$10004,MATCH(1,INDEX((NHAP_LIEU!$A$5:$A$10004=($J$2+20-2))*(NHAP_LIEU!$B$5:$B$10004=$A7),0),0),0))=0,"",SUM(INDEX(NHAP_LIEU!$H$5:$S$10004,MATCH(1,INDEX((NHAP_LIEU!$A$5:$A$10004=($J$2+20-2))*(NHAP_LIEU!$B$5:$B$10004=$A7),0),0),0))),""))</f>
        <v/>
      </c>
      <c r="U7" s="18">
        <f>IF(OR($A7="",MONTH(($J$2+21-2))&lt;&gt;MONTH($J$2)),"",IFERROR(IF(COUNT(INDEX(NHAP_LIEU!$H$5:$S$10004,MATCH(1,INDEX((NHAP_LIEU!$A$5:$A$10004=($J$2+21-2))*(NHAP_LIEU!$B$5:$B$10004=$A7),0),0),0))=0,"",SUM(INDEX(NHAP_LIEU!$H$5:$S$10004,MATCH(1,INDEX((NHAP_LIEU!$A$5:$A$10004=($J$2+21-2))*(NHAP_LIEU!$B$5:$B$10004=$A7),0),0),0))),""))</f>
        <v/>
      </c>
      <c r="V7" s="18">
        <f>IF(OR($A7="",MONTH(($J$2+22-2))&lt;&gt;MONTH($J$2)),"",IFERROR(IF(COUNT(INDEX(NHAP_LIEU!$H$5:$S$10004,MATCH(1,INDEX((NHAP_LIEU!$A$5:$A$10004=($J$2+22-2))*(NHAP_LIEU!$B$5:$B$10004=$A7),0),0),0))=0,"",SUM(INDEX(NHAP_LIEU!$H$5:$S$10004,MATCH(1,INDEX((NHAP_LIEU!$A$5:$A$10004=($J$2+22-2))*(NHAP_LIEU!$B$5:$B$10004=$A7),0),0),0))),""))</f>
        <v/>
      </c>
      <c r="W7" s="18">
        <f>IF(OR($A7="",MONTH(($J$2+23-2))&lt;&gt;MONTH($J$2)),"",IFERROR(IF(COUNT(INDEX(NHAP_LIEU!$H$5:$S$10004,MATCH(1,INDEX((NHAP_LIEU!$A$5:$A$10004=($J$2+23-2))*(NHAP_LIEU!$B$5:$B$10004=$A7),0),0),0))=0,"",SUM(INDEX(NHAP_LIEU!$H$5:$S$10004,MATCH(1,INDEX((NHAP_LIEU!$A$5:$A$10004=($J$2+23-2))*(NHAP_LIEU!$B$5:$B$10004=$A7),0),0),0))),""))</f>
        <v/>
      </c>
      <c r="X7" s="18">
        <f>IF(OR($A7="",MONTH(($J$2+24-2))&lt;&gt;MONTH($J$2)),"",IFERROR(IF(COUNT(INDEX(NHAP_LIEU!$H$5:$S$10004,MATCH(1,INDEX((NHAP_LIEU!$A$5:$A$10004=($J$2+24-2))*(NHAP_LIEU!$B$5:$B$10004=$A7),0),0),0))=0,"",SUM(INDEX(NHAP_LIEU!$H$5:$S$10004,MATCH(1,INDEX((NHAP_LIEU!$A$5:$A$10004=($J$2+24-2))*(NHAP_LIEU!$B$5:$B$10004=$A7),0),0),0))),""))</f>
        <v/>
      </c>
      <c r="Y7" s="18">
        <f>IF(OR($A7="",MONTH(($J$2+25-2))&lt;&gt;MONTH($J$2)),"",IFERROR(IF(COUNT(INDEX(NHAP_LIEU!$H$5:$S$10004,MATCH(1,INDEX((NHAP_LIEU!$A$5:$A$10004=($J$2+25-2))*(NHAP_LIEU!$B$5:$B$10004=$A7),0),0),0))=0,"",SUM(INDEX(NHAP_LIEU!$H$5:$S$10004,MATCH(1,INDEX((NHAP_LIEU!$A$5:$A$10004=($J$2+25-2))*(NHAP_LIEU!$B$5:$B$10004=$A7),0),0),0))),""))</f>
        <v/>
      </c>
      <c r="Z7" s="18">
        <f>IF(OR($A7="",MONTH(($J$2+26-2))&lt;&gt;MONTH($J$2)),"",IFERROR(IF(COUNT(INDEX(NHAP_LIEU!$H$5:$S$10004,MATCH(1,INDEX((NHAP_LIEU!$A$5:$A$10004=($J$2+26-2))*(NHAP_LIEU!$B$5:$B$10004=$A7),0),0),0))=0,"",SUM(INDEX(NHAP_LIEU!$H$5:$S$10004,MATCH(1,INDEX((NHAP_LIEU!$A$5:$A$10004=($J$2+26-2))*(NHAP_LIEU!$B$5:$B$10004=$A7),0),0),0))),""))</f>
        <v/>
      </c>
      <c r="AA7" s="18">
        <f>IF(OR($A7="",MONTH(($J$2+27-2))&lt;&gt;MONTH($J$2)),"",IFERROR(IF(COUNT(INDEX(NHAP_LIEU!$H$5:$S$10004,MATCH(1,INDEX((NHAP_LIEU!$A$5:$A$10004=($J$2+27-2))*(NHAP_LIEU!$B$5:$B$10004=$A7),0),0),0))=0,"",SUM(INDEX(NHAP_LIEU!$H$5:$S$10004,MATCH(1,INDEX((NHAP_LIEU!$A$5:$A$10004=($J$2+27-2))*(NHAP_LIEU!$B$5:$B$10004=$A7),0),0),0))),""))</f>
        <v/>
      </c>
      <c r="AB7" s="18">
        <f>IF(OR($A7="",MONTH(($J$2+28-2))&lt;&gt;MONTH($J$2)),"",IFERROR(IF(COUNT(INDEX(NHAP_LIEU!$H$5:$S$10004,MATCH(1,INDEX((NHAP_LIEU!$A$5:$A$10004=($J$2+28-2))*(NHAP_LIEU!$B$5:$B$10004=$A7),0),0),0))=0,"",SUM(INDEX(NHAP_LIEU!$H$5:$S$10004,MATCH(1,INDEX((NHAP_LIEU!$A$5:$A$10004=($J$2+28-2))*(NHAP_LIEU!$B$5:$B$10004=$A7),0),0),0))),""))</f>
        <v/>
      </c>
      <c r="AC7" s="18">
        <f>IF(OR($A7="",MONTH(($J$2+29-2))&lt;&gt;MONTH($J$2)),"",IFERROR(IF(COUNT(INDEX(NHAP_LIEU!$H$5:$S$10004,MATCH(1,INDEX((NHAP_LIEU!$A$5:$A$10004=($J$2+29-2))*(NHAP_LIEU!$B$5:$B$10004=$A7),0),0),0))=0,"",SUM(INDEX(NHAP_LIEU!$H$5:$S$10004,MATCH(1,INDEX((NHAP_LIEU!$A$5:$A$10004=($J$2+29-2))*(NHAP_LIEU!$B$5:$B$10004=$A7),0),0),0))),""))</f>
        <v/>
      </c>
      <c r="AD7" s="18">
        <f>IF(OR($A7="",MONTH(($J$2+30-2))&lt;&gt;MONTH($J$2)),"",IFERROR(IF(COUNT(INDEX(NHAP_LIEU!$H$5:$S$10004,MATCH(1,INDEX((NHAP_LIEU!$A$5:$A$10004=($J$2+30-2))*(NHAP_LIEU!$B$5:$B$10004=$A7),0),0),0))=0,"",SUM(INDEX(NHAP_LIEU!$H$5:$S$10004,MATCH(1,INDEX((NHAP_LIEU!$A$5:$A$10004=($J$2+30-2))*(NHAP_LIEU!$B$5:$B$10004=$A7),0),0),0))),""))</f>
        <v/>
      </c>
      <c r="AE7" s="18">
        <f>IF(OR($A7="",MONTH(($J$2+31-2))&lt;&gt;MONTH($J$2)),"",IFERROR(IF(COUNT(INDEX(NHAP_LIEU!$H$5:$S$10004,MATCH(1,INDEX((NHAP_LIEU!$A$5:$A$10004=($J$2+31-2))*(NHAP_LIEU!$B$5:$B$10004=$A7),0),0),0))=0,"",SUM(INDEX(NHAP_LIEU!$H$5:$S$10004,MATCH(1,INDEX((NHAP_LIEU!$A$5:$A$10004=($J$2+31-2))*(NHAP_LIEU!$B$5:$B$10004=$A7),0),0),0))),""))</f>
        <v/>
      </c>
      <c r="AF7" s="18">
        <f>IF(OR($A7="",MONTH(($J$2+32-2))&lt;&gt;MONTH($J$2)),"",IFERROR(IF(COUNT(INDEX(NHAP_LIEU!$H$5:$S$10004,MATCH(1,INDEX((NHAP_LIEU!$A$5:$A$10004=($J$2+32-2))*(NHAP_LIEU!$B$5:$B$10004=$A7),0),0),0))=0,"",SUM(INDEX(NHAP_LIEU!$H$5:$S$10004,MATCH(1,INDEX((NHAP_LIEU!$A$5:$A$10004=($J$2+32-2))*(NHAP_LIEU!$B$5:$B$10004=$A7),0),0),0))),""))</f>
        <v/>
      </c>
      <c r="AG7" s="48">
        <f>IF($A7="","",SUM(B7:AF7))</f>
        <v/>
      </c>
      <c r="AH7" s="18">
        <f>IF($A7="","",SUMPRODUCT((NHAP_LIEU!$B$5:$B$10004=$A7)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7" s="49">
        <f>IF(OR($A7="",N(AH7)=0),"",AG7/AH7)</f>
        <v/>
      </c>
    </row>
    <row r="8">
      <c r="A8" s="47">
        <f>IF(DANH_SACH_CHUYEN!B7="","",DANH_SACH_CHUYEN!B7)</f>
        <v/>
      </c>
      <c r="B8" s="18">
        <f>IF(OR($A8="",MONTH(($J$2+2-2))&lt;&gt;MONTH($J$2)),"",IFERROR(IF(COUNT(INDEX(NHAP_LIEU!$H$5:$S$10004,MATCH(1,INDEX((NHAP_LIEU!$A$5:$A$10004=($J$2+2-2))*(NHAP_LIEU!$B$5:$B$10004=$A8),0),0),0))=0,"",SUM(INDEX(NHAP_LIEU!$H$5:$S$10004,MATCH(1,INDEX((NHAP_LIEU!$A$5:$A$10004=($J$2+2-2))*(NHAP_LIEU!$B$5:$B$10004=$A8),0),0),0))),""))</f>
        <v/>
      </c>
      <c r="C8" s="18">
        <f>IF(OR($A8="",MONTH(($J$2+3-2))&lt;&gt;MONTH($J$2)),"",IFERROR(IF(COUNT(INDEX(NHAP_LIEU!$H$5:$S$10004,MATCH(1,INDEX((NHAP_LIEU!$A$5:$A$10004=($J$2+3-2))*(NHAP_LIEU!$B$5:$B$10004=$A8),0),0),0))=0,"",SUM(INDEX(NHAP_LIEU!$H$5:$S$10004,MATCH(1,INDEX((NHAP_LIEU!$A$5:$A$10004=($J$2+3-2))*(NHAP_LIEU!$B$5:$B$10004=$A8),0),0),0))),""))</f>
        <v/>
      </c>
      <c r="D8" s="18">
        <f>IF(OR($A8="",MONTH(($J$2+4-2))&lt;&gt;MONTH($J$2)),"",IFERROR(IF(COUNT(INDEX(NHAP_LIEU!$H$5:$S$10004,MATCH(1,INDEX((NHAP_LIEU!$A$5:$A$10004=($J$2+4-2))*(NHAP_LIEU!$B$5:$B$10004=$A8),0),0),0))=0,"",SUM(INDEX(NHAP_LIEU!$H$5:$S$10004,MATCH(1,INDEX((NHAP_LIEU!$A$5:$A$10004=($J$2+4-2))*(NHAP_LIEU!$B$5:$B$10004=$A8),0),0),0))),""))</f>
        <v/>
      </c>
      <c r="E8" s="18">
        <f>IF(OR($A8="",MONTH(($J$2+5-2))&lt;&gt;MONTH($J$2)),"",IFERROR(IF(COUNT(INDEX(NHAP_LIEU!$H$5:$S$10004,MATCH(1,INDEX((NHAP_LIEU!$A$5:$A$10004=($J$2+5-2))*(NHAP_LIEU!$B$5:$B$10004=$A8),0),0),0))=0,"",SUM(INDEX(NHAP_LIEU!$H$5:$S$10004,MATCH(1,INDEX((NHAP_LIEU!$A$5:$A$10004=($J$2+5-2))*(NHAP_LIEU!$B$5:$B$10004=$A8),0),0),0))),""))</f>
        <v/>
      </c>
      <c r="F8" s="18">
        <f>IF(OR($A8="",MONTH(($J$2+6-2))&lt;&gt;MONTH($J$2)),"",IFERROR(IF(COUNT(INDEX(NHAP_LIEU!$H$5:$S$10004,MATCH(1,INDEX((NHAP_LIEU!$A$5:$A$10004=($J$2+6-2))*(NHAP_LIEU!$B$5:$B$10004=$A8),0),0),0))=0,"",SUM(INDEX(NHAP_LIEU!$H$5:$S$10004,MATCH(1,INDEX((NHAP_LIEU!$A$5:$A$10004=($J$2+6-2))*(NHAP_LIEU!$B$5:$B$10004=$A8),0),0),0))),""))</f>
        <v/>
      </c>
      <c r="G8" s="18">
        <f>IF(OR($A8="",MONTH(($J$2+7-2))&lt;&gt;MONTH($J$2)),"",IFERROR(IF(COUNT(INDEX(NHAP_LIEU!$H$5:$S$10004,MATCH(1,INDEX((NHAP_LIEU!$A$5:$A$10004=($J$2+7-2))*(NHAP_LIEU!$B$5:$B$10004=$A8),0),0),0))=0,"",SUM(INDEX(NHAP_LIEU!$H$5:$S$10004,MATCH(1,INDEX((NHAP_LIEU!$A$5:$A$10004=($J$2+7-2))*(NHAP_LIEU!$B$5:$B$10004=$A8),0),0),0))),""))</f>
        <v/>
      </c>
      <c r="H8" s="18">
        <f>IF(OR($A8="",MONTH(($J$2+8-2))&lt;&gt;MONTH($J$2)),"",IFERROR(IF(COUNT(INDEX(NHAP_LIEU!$H$5:$S$10004,MATCH(1,INDEX((NHAP_LIEU!$A$5:$A$10004=($J$2+8-2))*(NHAP_LIEU!$B$5:$B$10004=$A8),0),0),0))=0,"",SUM(INDEX(NHAP_LIEU!$H$5:$S$10004,MATCH(1,INDEX((NHAP_LIEU!$A$5:$A$10004=($J$2+8-2))*(NHAP_LIEU!$B$5:$B$10004=$A8),0),0),0))),""))</f>
        <v/>
      </c>
      <c r="I8" s="18">
        <f>IF(OR($A8="",MONTH(($J$2+9-2))&lt;&gt;MONTH($J$2)),"",IFERROR(IF(COUNT(INDEX(NHAP_LIEU!$H$5:$S$10004,MATCH(1,INDEX((NHAP_LIEU!$A$5:$A$10004=($J$2+9-2))*(NHAP_LIEU!$B$5:$B$10004=$A8),0),0),0))=0,"",SUM(INDEX(NHAP_LIEU!$H$5:$S$10004,MATCH(1,INDEX((NHAP_LIEU!$A$5:$A$10004=($J$2+9-2))*(NHAP_LIEU!$B$5:$B$10004=$A8),0),0),0))),""))</f>
        <v/>
      </c>
      <c r="J8" s="18">
        <f>IF(OR($A8="",MONTH(($J$2+10-2))&lt;&gt;MONTH($J$2)),"",IFERROR(IF(COUNT(INDEX(NHAP_LIEU!$H$5:$S$10004,MATCH(1,INDEX((NHAP_LIEU!$A$5:$A$10004=($J$2+10-2))*(NHAP_LIEU!$B$5:$B$10004=$A8),0),0),0))=0,"",SUM(INDEX(NHAP_LIEU!$H$5:$S$10004,MATCH(1,INDEX((NHAP_LIEU!$A$5:$A$10004=($J$2+10-2))*(NHAP_LIEU!$B$5:$B$10004=$A8),0),0),0))),""))</f>
        <v/>
      </c>
      <c r="K8" s="18">
        <f>IF(OR($A8="",MONTH(($J$2+11-2))&lt;&gt;MONTH($J$2)),"",IFERROR(IF(COUNT(INDEX(NHAP_LIEU!$H$5:$S$10004,MATCH(1,INDEX((NHAP_LIEU!$A$5:$A$10004=($J$2+11-2))*(NHAP_LIEU!$B$5:$B$10004=$A8),0),0),0))=0,"",SUM(INDEX(NHAP_LIEU!$H$5:$S$10004,MATCH(1,INDEX((NHAP_LIEU!$A$5:$A$10004=($J$2+11-2))*(NHAP_LIEU!$B$5:$B$10004=$A8),0),0),0))),""))</f>
        <v/>
      </c>
      <c r="L8" s="18">
        <f>IF(OR($A8="",MONTH(($J$2+12-2))&lt;&gt;MONTH($J$2)),"",IFERROR(IF(COUNT(INDEX(NHAP_LIEU!$H$5:$S$10004,MATCH(1,INDEX((NHAP_LIEU!$A$5:$A$10004=($J$2+12-2))*(NHAP_LIEU!$B$5:$B$10004=$A8),0),0),0))=0,"",SUM(INDEX(NHAP_LIEU!$H$5:$S$10004,MATCH(1,INDEX((NHAP_LIEU!$A$5:$A$10004=($J$2+12-2))*(NHAP_LIEU!$B$5:$B$10004=$A8),0),0),0))),""))</f>
        <v/>
      </c>
      <c r="M8" s="18">
        <f>IF(OR($A8="",MONTH(($J$2+13-2))&lt;&gt;MONTH($J$2)),"",IFERROR(IF(COUNT(INDEX(NHAP_LIEU!$H$5:$S$10004,MATCH(1,INDEX((NHAP_LIEU!$A$5:$A$10004=($J$2+13-2))*(NHAP_LIEU!$B$5:$B$10004=$A8),0),0),0))=0,"",SUM(INDEX(NHAP_LIEU!$H$5:$S$10004,MATCH(1,INDEX((NHAP_LIEU!$A$5:$A$10004=($J$2+13-2))*(NHAP_LIEU!$B$5:$B$10004=$A8),0),0),0))),""))</f>
        <v/>
      </c>
      <c r="N8" s="18">
        <f>IF(OR($A8="",MONTH(($J$2+14-2))&lt;&gt;MONTH($J$2)),"",IFERROR(IF(COUNT(INDEX(NHAP_LIEU!$H$5:$S$10004,MATCH(1,INDEX((NHAP_LIEU!$A$5:$A$10004=($J$2+14-2))*(NHAP_LIEU!$B$5:$B$10004=$A8),0),0),0))=0,"",SUM(INDEX(NHAP_LIEU!$H$5:$S$10004,MATCH(1,INDEX((NHAP_LIEU!$A$5:$A$10004=($J$2+14-2))*(NHAP_LIEU!$B$5:$B$10004=$A8),0),0),0))),""))</f>
        <v/>
      </c>
      <c r="O8" s="18">
        <f>IF(OR($A8="",MONTH(($J$2+15-2))&lt;&gt;MONTH($J$2)),"",IFERROR(IF(COUNT(INDEX(NHAP_LIEU!$H$5:$S$10004,MATCH(1,INDEX((NHAP_LIEU!$A$5:$A$10004=($J$2+15-2))*(NHAP_LIEU!$B$5:$B$10004=$A8),0),0),0))=0,"",SUM(INDEX(NHAP_LIEU!$H$5:$S$10004,MATCH(1,INDEX((NHAP_LIEU!$A$5:$A$10004=($J$2+15-2))*(NHAP_LIEU!$B$5:$B$10004=$A8),0),0),0))),""))</f>
        <v/>
      </c>
      <c r="P8" s="18">
        <f>IF(OR($A8="",MONTH(($J$2+16-2))&lt;&gt;MONTH($J$2)),"",IFERROR(IF(COUNT(INDEX(NHAP_LIEU!$H$5:$S$10004,MATCH(1,INDEX((NHAP_LIEU!$A$5:$A$10004=($J$2+16-2))*(NHAP_LIEU!$B$5:$B$10004=$A8),0),0),0))=0,"",SUM(INDEX(NHAP_LIEU!$H$5:$S$10004,MATCH(1,INDEX((NHAP_LIEU!$A$5:$A$10004=($J$2+16-2))*(NHAP_LIEU!$B$5:$B$10004=$A8),0),0),0))),""))</f>
        <v/>
      </c>
      <c r="Q8" s="18">
        <f>IF(OR($A8="",MONTH(($J$2+17-2))&lt;&gt;MONTH($J$2)),"",IFERROR(IF(COUNT(INDEX(NHAP_LIEU!$H$5:$S$10004,MATCH(1,INDEX((NHAP_LIEU!$A$5:$A$10004=($J$2+17-2))*(NHAP_LIEU!$B$5:$B$10004=$A8),0),0),0))=0,"",SUM(INDEX(NHAP_LIEU!$H$5:$S$10004,MATCH(1,INDEX((NHAP_LIEU!$A$5:$A$10004=($J$2+17-2))*(NHAP_LIEU!$B$5:$B$10004=$A8),0),0),0))),""))</f>
        <v/>
      </c>
      <c r="R8" s="18">
        <f>IF(OR($A8="",MONTH(($J$2+18-2))&lt;&gt;MONTH($J$2)),"",IFERROR(IF(COUNT(INDEX(NHAP_LIEU!$H$5:$S$10004,MATCH(1,INDEX((NHAP_LIEU!$A$5:$A$10004=($J$2+18-2))*(NHAP_LIEU!$B$5:$B$10004=$A8),0),0),0))=0,"",SUM(INDEX(NHAP_LIEU!$H$5:$S$10004,MATCH(1,INDEX((NHAP_LIEU!$A$5:$A$10004=($J$2+18-2))*(NHAP_LIEU!$B$5:$B$10004=$A8),0),0),0))),""))</f>
        <v/>
      </c>
      <c r="S8" s="18">
        <f>IF(OR($A8="",MONTH(($J$2+19-2))&lt;&gt;MONTH($J$2)),"",IFERROR(IF(COUNT(INDEX(NHAP_LIEU!$H$5:$S$10004,MATCH(1,INDEX((NHAP_LIEU!$A$5:$A$10004=($J$2+19-2))*(NHAP_LIEU!$B$5:$B$10004=$A8),0),0),0))=0,"",SUM(INDEX(NHAP_LIEU!$H$5:$S$10004,MATCH(1,INDEX((NHAP_LIEU!$A$5:$A$10004=($J$2+19-2))*(NHAP_LIEU!$B$5:$B$10004=$A8),0),0),0))),""))</f>
        <v/>
      </c>
      <c r="T8" s="18">
        <f>IF(OR($A8="",MONTH(($J$2+20-2))&lt;&gt;MONTH($J$2)),"",IFERROR(IF(COUNT(INDEX(NHAP_LIEU!$H$5:$S$10004,MATCH(1,INDEX((NHAP_LIEU!$A$5:$A$10004=($J$2+20-2))*(NHAP_LIEU!$B$5:$B$10004=$A8),0),0),0))=0,"",SUM(INDEX(NHAP_LIEU!$H$5:$S$10004,MATCH(1,INDEX((NHAP_LIEU!$A$5:$A$10004=($J$2+20-2))*(NHAP_LIEU!$B$5:$B$10004=$A8),0),0),0))),""))</f>
        <v/>
      </c>
      <c r="U8" s="18">
        <f>IF(OR($A8="",MONTH(($J$2+21-2))&lt;&gt;MONTH($J$2)),"",IFERROR(IF(COUNT(INDEX(NHAP_LIEU!$H$5:$S$10004,MATCH(1,INDEX((NHAP_LIEU!$A$5:$A$10004=($J$2+21-2))*(NHAP_LIEU!$B$5:$B$10004=$A8),0),0),0))=0,"",SUM(INDEX(NHAP_LIEU!$H$5:$S$10004,MATCH(1,INDEX((NHAP_LIEU!$A$5:$A$10004=($J$2+21-2))*(NHAP_LIEU!$B$5:$B$10004=$A8),0),0),0))),""))</f>
        <v/>
      </c>
      <c r="V8" s="18">
        <f>IF(OR($A8="",MONTH(($J$2+22-2))&lt;&gt;MONTH($J$2)),"",IFERROR(IF(COUNT(INDEX(NHAP_LIEU!$H$5:$S$10004,MATCH(1,INDEX((NHAP_LIEU!$A$5:$A$10004=($J$2+22-2))*(NHAP_LIEU!$B$5:$B$10004=$A8),0),0),0))=0,"",SUM(INDEX(NHAP_LIEU!$H$5:$S$10004,MATCH(1,INDEX((NHAP_LIEU!$A$5:$A$10004=($J$2+22-2))*(NHAP_LIEU!$B$5:$B$10004=$A8),0),0),0))),""))</f>
        <v/>
      </c>
      <c r="W8" s="18">
        <f>IF(OR($A8="",MONTH(($J$2+23-2))&lt;&gt;MONTH($J$2)),"",IFERROR(IF(COUNT(INDEX(NHAP_LIEU!$H$5:$S$10004,MATCH(1,INDEX((NHAP_LIEU!$A$5:$A$10004=($J$2+23-2))*(NHAP_LIEU!$B$5:$B$10004=$A8),0),0),0))=0,"",SUM(INDEX(NHAP_LIEU!$H$5:$S$10004,MATCH(1,INDEX((NHAP_LIEU!$A$5:$A$10004=($J$2+23-2))*(NHAP_LIEU!$B$5:$B$10004=$A8),0),0),0))),""))</f>
        <v/>
      </c>
      <c r="X8" s="18">
        <f>IF(OR($A8="",MONTH(($J$2+24-2))&lt;&gt;MONTH($J$2)),"",IFERROR(IF(COUNT(INDEX(NHAP_LIEU!$H$5:$S$10004,MATCH(1,INDEX((NHAP_LIEU!$A$5:$A$10004=($J$2+24-2))*(NHAP_LIEU!$B$5:$B$10004=$A8),0),0),0))=0,"",SUM(INDEX(NHAP_LIEU!$H$5:$S$10004,MATCH(1,INDEX((NHAP_LIEU!$A$5:$A$10004=($J$2+24-2))*(NHAP_LIEU!$B$5:$B$10004=$A8),0),0),0))),""))</f>
        <v/>
      </c>
      <c r="Y8" s="18">
        <f>IF(OR($A8="",MONTH(($J$2+25-2))&lt;&gt;MONTH($J$2)),"",IFERROR(IF(COUNT(INDEX(NHAP_LIEU!$H$5:$S$10004,MATCH(1,INDEX((NHAP_LIEU!$A$5:$A$10004=($J$2+25-2))*(NHAP_LIEU!$B$5:$B$10004=$A8),0),0),0))=0,"",SUM(INDEX(NHAP_LIEU!$H$5:$S$10004,MATCH(1,INDEX((NHAP_LIEU!$A$5:$A$10004=($J$2+25-2))*(NHAP_LIEU!$B$5:$B$10004=$A8),0),0),0))),""))</f>
        <v/>
      </c>
      <c r="Z8" s="18">
        <f>IF(OR($A8="",MONTH(($J$2+26-2))&lt;&gt;MONTH($J$2)),"",IFERROR(IF(COUNT(INDEX(NHAP_LIEU!$H$5:$S$10004,MATCH(1,INDEX((NHAP_LIEU!$A$5:$A$10004=($J$2+26-2))*(NHAP_LIEU!$B$5:$B$10004=$A8),0),0),0))=0,"",SUM(INDEX(NHAP_LIEU!$H$5:$S$10004,MATCH(1,INDEX((NHAP_LIEU!$A$5:$A$10004=($J$2+26-2))*(NHAP_LIEU!$B$5:$B$10004=$A8),0),0),0))),""))</f>
        <v/>
      </c>
      <c r="AA8" s="18">
        <f>IF(OR($A8="",MONTH(($J$2+27-2))&lt;&gt;MONTH($J$2)),"",IFERROR(IF(COUNT(INDEX(NHAP_LIEU!$H$5:$S$10004,MATCH(1,INDEX((NHAP_LIEU!$A$5:$A$10004=($J$2+27-2))*(NHAP_LIEU!$B$5:$B$10004=$A8),0),0),0))=0,"",SUM(INDEX(NHAP_LIEU!$H$5:$S$10004,MATCH(1,INDEX((NHAP_LIEU!$A$5:$A$10004=($J$2+27-2))*(NHAP_LIEU!$B$5:$B$10004=$A8),0),0),0))),""))</f>
        <v/>
      </c>
      <c r="AB8" s="18">
        <f>IF(OR($A8="",MONTH(($J$2+28-2))&lt;&gt;MONTH($J$2)),"",IFERROR(IF(COUNT(INDEX(NHAP_LIEU!$H$5:$S$10004,MATCH(1,INDEX((NHAP_LIEU!$A$5:$A$10004=($J$2+28-2))*(NHAP_LIEU!$B$5:$B$10004=$A8),0),0),0))=0,"",SUM(INDEX(NHAP_LIEU!$H$5:$S$10004,MATCH(1,INDEX((NHAP_LIEU!$A$5:$A$10004=($J$2+28-2))*(NHAP_LIEU!$B$5:$B$10004=$A8),0),0),0))),""))</f>
        <v/>
      </c>
      <c r="AC8" s="18">
        <f>IF(OR($A8="",MONTH(($J$2+29-2))&lt;&gt;MONTH($J$2)),"",IFERROR(IF(COUNT(INDEX(NHAP_LIEU!$H$5:$S$10004,MATCH(1,INDEX((NHAP_LIEU!$A$5:$A$10004=($J$2+29-2))*(NHAP_LIEU!$B$5:$B$10004=$A8),0),0),0))=0,"",SUM(INDEX(NHAP_LIEU!$H$5:$S$10004,MATCH(1,INDEX((NHAP_LIEU!$A$5:$A$10004=($J$2+29-2))*(NHAP_LIEU!$B$5:$B$10004=$A8),0),0),0))),""))</f>
        <v/>
      </c>
      <c r="AD8" s="18">
        <f>IF(OR($A8="",MONTH(($J$2+30-2))&lt;&gt;MONTH($J$2)),"",IFERROR(IF(COUNT(INDEX(NHAP_LIEU!$H$5:$S$10004,MATCH(1,INDEX((NHAP_LIEU!$A$5:$A$10004=($J$2+30-2))*(NHAP_LIEU!$B$5:$B$10004=$A8),0),0),0))=0,"",SUM(INDEX(NHAP_LIEU!$H$5:$S$10004,MATCH(1,INDEX((NHAP_LIEU!$A$5:$A$10004=($J$2+30-2))*(NHAP_LIEU!$B$5:$B$10004=$A8),0),0),0))),""))</f>
        <v/>
      </c>
      <c r="AE8" s="18">
        <f>IF(OR($A8="",MONTH(($J$2+31-2))&lt;&gt;MONTH($J$2)),"",IFERROR(IF(COUNT(INDEX(NHAP_LIEU!$H$5:$S$10004,MATCH(1,INDEX((NHAP_LIEU!$A$5:$A$10004=($J$2+31-2))*(NHAP_LIEU!$B$5:$B$10004=$A8),0),0),0))=0,"",SUM(INDEX(NHAP_LIEU!$H$5:$S$10004,MATCH(1,INDEX((NHAP_LIEU!$A$5:$A$10004=($J$2+31-2))*(NHAP_LIEU!$B$5:$B$10004=$A8),0),0),0))),""))</f>
        <v/>
      </c>
      <c r="AF8" s="18">
        <f>IF(OR($A8="",MONTH(($J$2+32-2))&lt;&gt;MONTH($J$2)),"",IFERROR(IF(COUNT(INDEX(NHAP_LIEU!$H$5:$S$10004,MATCH(1,INDEX((NHAP_LIEU!$A$5:$A$10004=($J$2+32-2))*(NHAP_LIEU!$B$5:$B$10004=$A8),0),0),0))=0,"",SUM(INDEX(NHAP_LIEU!$H$5:$S$10004,MATCH(1,INDEX((NHAP_LIEU!$A$5:$A$10004=($J$2+32-2))*(NHAP_LIEU!$B$5:$B$10004=$A8),0),0),0))),""))</f>
        <v/>
      </c>
      <c r="AG8" s="48">
        <f>IF($A8="","",SUM(B8:AF8))</f>
        <v/>
      </c>
      <c r="AH8" s="18">
        <f>IF($A8="","",SUMPRODUCT((NHAP_LIEU!$B$5:$B$10004=$A8)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8" s="49">
        <f>IF(OR($A8="",N(AH8)=0),"",AG8/AH8)</f>
        <v/>
      </c>
    </row>
    <row r="9">
      <c r="A9" s="47">
        <f>IF(DANH_SACH_CHUYEN!B8="","",DANH_SACH_CHUYEN!B8)</f>
        <v/>
      </c>
      <c r="B9" s="18">
        <f>IF(OR($A9="",MONTH(($J$2+2-2))&lt;&gt;MONTH($J$2)),"",IFERROR(IF(COUNT(INDEX(NHAP_LIEU!$H$5:$S$10004,MATCH(1,INDEX((NHAP_LIEU!$A$5:$A$10004=($J$2+2-2))*(NHAP_LIEU!$B$5:$B$10004=$A9),0),0),0))=0,"",SUM(INDEX(NHAP_LIEU!$H$5:$S$10004,MATCH(1,INDEX((NHAP_LIEU!$A$5:$A$10004=($J$2+2-2))*(NHAP_LIEU!$B$5:$B$10004=$A9),0),0),0))),""))</f>
        <v/>
      </c>
      <c r="C9" s="18">
        <f>IF(OR($A9="",MONTH(($J$2+3-2))&lt;&gt;MONTH($J$2)),"",IFERROR(IF(COUNT(INDEX(NHAP_LIEU!$H$5:$S$10004,MATCH(1,INDEX((NHAP_LIEU!$A$5:$A$10004=($J$2+3-2))*(NHAP_LIEU!$B$5:$B$10004=$A9),0),0),0))=0,"",SUM(INDEX(NHAP_LIEU!$H$5:$S$10004,MATCH(1,INDEX((NHAP_LIEU!$A$5:$A$10004=($J$2+3-2))*(NHAP_LIEU!$B$5:$B$10004=$A9),0),0),0))),""))</f>
        <v/>
      </c>
      <c r="D9" s="18">
        <f>IF(OR($A9="",MONTH(($J$2+4-2))&lt;&gt;MONTH($J$2)),"",IFERROR(IF(COUNT(INDEX(NHAP_LIEU!$H$5:$S$10004,MATCH(1,INDEX((NHAP_LIEU!$A$5:$A$10004=($J$2+4-2))*(NHAP_LIEU!$B$5:$B$10004=$A9),0),0),0))=0,"",SUM(INDEX(NHAP_LIEU!$H$5:$S$10004,MATCH(1,INDEX((NHAP_LIEU!$A$5:$A$10004=($J$2+4-2))*(NHAP_LIEU!$B$5:$B$10004=$A9),0),0),0))),""))</f>
        <v/>
      </c>
      <c r="E9" s="18">
        <f>IF(OR($A9="",MONTH(($J$2+5-2))&lt;&gt;MONTH($J$2)),"",IFERROR(IF(COUNT(INDEX(NHAP_LIEU!$H$5:$S$10004,MATCH(1,INDEX((NHAP_LIEU!$A$5:$A$10004=($J$2+5-2))*(NHAP_LIEU!$B$5:$B$10004=$A9),0),0),0))=0,"",SUM(INDEX(NHAP_LIEU!$H$5:$S$10004,MATCH(1,INDEX((NHAP_LIEU!$A$5:$A$10004=($J$2+5-2))*(NHAP_LIEU!$B$5:$B$10004=$A9),0),0),0))),""))</f>
        <v/>
      </c>
      <c r="F9" s="18">
        <f>IF(OR($A9="",MONTH(($J$2+6-2))&lt;&gt;MONTH($J$2)),"",IFERROR(IF(COUNT(INDEX(NHAP_LIEU!$H$5:$S$10004,MATCH(1,INDEX((NHAP_LIEU!$A$5:$A$10004=($J$2+6-2))*(NHAP_LIEU!$B$5:$B$10004=$A9),0),0),0))=0,"",SUM(INDEX(NHAP_LIEU!$H$5:$S$10004,MATCH(1,INDEX((NHAP_LIEU!$A$5:$A$10004=($J$2+6-2))*(NHAP_LIEU!$B$5:$B$10004=$A9),0),0),0))),""))</f>
        <v/>
      </c>
      <c r="G9" s="18">
        <f>IF(OR($A9="",MONTH(($J$2+7-2))&lt;&gt;MONTH($J$2)),"",IFERROR(IF(COUNT(INDEX(NHAP_LIEU!$H$5:$S$10004,MATCH(1,INDEX((NHAP_LIEU!$A$5:$A$10004=($J$2+7-2))*(NHAP_LIEU!$B$5:$B$10004=$A9),0),0),0))=0,"",SUM(INDEX(NHAP_LIEU!$H$5:$S$10004,MATCH(1,INDEX((NHAP_LIEU!$A$5:$A$10004=($J$2+7-2))*(NHAP_LIEU!$B$5:$B$10004=$A9),0),0),0))),""))</f>
        <v/>
      </c>
      <c r="H9" s="18">
        <f>IF(OR($A9="",MONTH(($J$2+8-2))&lt;&gt;MONTH($J$2)),"",IFERROR(IF(COUNT(INDEX(NHAP_LIEU!$H$5:$S$10004,MATCH(1,INDEX((NHAP_LIEU!$A$5:$A$10004=($J$2+8-2))*(NHAP_LIEU!$B$5:$B$10004=$A9),0),0),0))=0,"",SUM(INDEX(NHAP_LIEU!$H$5:$S$10004,MATCH(1,INDEX((NHAP_LIEU!$A$5:$A$10004=($J$2+8-2))*(NHAP_LIEU!$B$5:$B$10004=$A9),0),0),0))),""))</f>
        <v/>
      </c>
      <c r="I9" s="18">
        <f>IF(OR($A9="",MONTH(($J$2+9-2))&lt;&gt;MONTH($J$2)),"",IFERROR(IF(COUNT(INDEX(NHAP_LIEU!$H$5:$S$10004,MATCH(1,INDEX((NHAP_LIEU!$A$5:$A$10004=($J$2+9-2))*(NHAP_LIEU!$B$5:$B$10004=$A9),0),0),0))=0,"",SUM(INDEX(NHAP_LIEU!$H$5:$S$10004,MATCH(1,INDEX((NHAP_LIEU!$A$5:$A$10004=($J$2+9-2))*(NHAP_LIEU!$B$5:$B$10004=$A9),0),0),0))),""))</f>
        <v/>
      </c>
      <c r="J9" s="18">
        <f>IF(OR($A9="",MONTH(($J$2+10-2))&lt;&gt;MONTH($J$2)),"",IFERROR(IF(COUNT(INDEX(NHAP_LIEU!$H$5:$S$10004,MATCH(1,INDEX((NHAP_LIEU!$A$5:$A$10004=($J$2+10-2))*(NHAP_LIEU!$B$5:$B$10004=$A9),0),0),0))=0,"",SUM(INDEX(NHAP_LIEU!$H$5:$S$10004,MATCH(1,INDEX((NHAP_LIEU!$A$5:$A$10004=($J$2+10-2))*(NHAP_LIEU!$B$5:$B$10004=$A9),0),0),0))),""))</f>
        <v/>
      </c>
      <c r="K9" s="18">
        <f>IF(OR($A9="",MONTH(($J$2+11-2))&lt;&gt;MONTH($J$2)),"",IFERROR(IF(COUNT(INDEX(NHAP_LIEU!$H$5:$S$10004,MATCH(1,INDEX((NHAP_LIEU!$A$5:$A$10004=($J$2+11-2))*(NHAP_LIEU!$B$5:$B$10004=$A9),0),0),0))=0,"",SUM(INDEX(NHAP_LIEU!$H$5:$S$10004,MATCH(1,INDEX((NHAP_LIEU!$A$5:$A$10004=($J$2+11-2))*(NHAP_LIEU!$B$5:$B$10004=$A9),0),0),0))),""))</f>
        <v/>
      </c>
      <c r="L9" s="18">
        <f>IF(OR($A9="",MONTH(($J$2+12-2))&lt;&gt;MONTH($J$2)),"",IFERROR(IF(COUNT(INDEX(NHAP_LIEU!$H$5:$S$10004,MATCH(1,INDEX((NHAP_LIEU!$A$5:$A$10004=($J$2+12-2))*(NHAP_LIEU!$B$5:$B$10004=$A9),0),0),0))=0,"",SUM(INDEX(NHAP_LIEU!$H$5:$S$10004,MATCH(1,INDEX((NHAP_LIEU!$A$5:$A$10004=($J$2+12-2))*(NHAP_LIEU!$B$5:$B$10004=$A9),0),0),0))),""))</f>
        <v/>
      </c>
      <c r="M9" s="18">
        <f>IF(OR($A9="",MONTH(($J$2+13-2))&lt;&gt;MONTH($J$2)),"",IFERROR(IF(COUNT(INDEX(NHAP_LIEU!$H$5:$S$10004,MATCH(1,INDEX((NHAP_LIEU!$A$5:$A$10004=($J$2+13-2))*(NHAP_LIEU!$B$5:$B$10004=$A9),0),0),0))=0,"",SUM(INDEX(NHAP_LIEU!$H$5:$S$10004,MATCH(1,INDEX((NHAP_LIEU!$A$5:$A$10004=($J$2+13-2))*(NHAP_LIEU!$B$5:$B$10004=$A9),0),0),0))),""))</f>
        <v/>
      </c>
      <c r="N9" s="18">
        <f>IF(OR($A9="",MONTH(($J$2+14-2))&lt;&gt;MONTH($J$2)),"",IFERROR(IF(COUNT(INDEX(NHAP_LIEU!$H$5:$S$10004,MATCH(1,INDEX((NHAP_LIEU!$A$5:$A$10004=($J$2+14-2))*(NHAP_LIEU!$B$5:$B$10004=$A9),0),0),0))=0,"",SUM(INDEX(NHAP_LIEU!$H$5:$S$10004,MATCH(1,INDEX((NHAP_LIEU!$A$5:$A$10004=($J$2+14-2))*(NHAP_LIEU!$B$5:$B$10004=$A9),0),0),0))),""))</f>
        <v/>
      </c>
      <c r="O9" s="18">
        <f>IF(OR($A9="",MONTH(($J$2+15-2))&lt;&gt;MONTH($J$2)),"",IFERROR(IF(COUNT(INDEX(NHAP_LIEU!$H$5:$S$10004,MATCH(1,INDEX((NHAP_LIEU!$A$5:$A$10004=($J$2+15-2))*(NHAP_LIEU!$B$5:$B$10004=$A9),0),0),0))=0,"",SUM(INDEX(NHAP_LIEU!$H$5:$S$10004,MATCH(1,INDEX((NHAP_LIEU!$A$5:$A$10004=($J$2+15-2))*(NHAP_LIEU!$B$5:$B$10004=$A9),0),0),0))),""))</f>
        <v/>
      </c>
      <c r="P9" s="18">
        <f>IF(OR($A9="",MONTH(($J$2+16-2))&lt;&gt;MONTH($J$2)),"",IFERROR(IF(COUNT(INDEX(NHAP_LIEU!$H$5:$S$10004,MATCH(1,INDEX((NHAP_LIEU!$A$5:$A$10004=($J$2+16-2))*(NHAP_LIEU!$B$5:$B$10004=$A9),0),0),0))=0,"",SUM(INDEX(NHAP_LIEU!$H$5:$S$10004,MATCH(1,INDEX((NHAP_LIEU!$A$5:$A$10004=($J$2+16-2))*(NHAP_LIEU!$B$5:$B$10004=$A9),0),0),0))),""))</f>
        <v/>
      </c>
      <c r="Q9" s="18">
        <f>IF(OR($A9="",MONTH(($J$2+17-2))&lt;&gt;MONTH($J$2)),"",IFERROR(IF(COUNT(INDEX(NHAP_LIEU!$H$5:$S$10004,MATCH(1,INDEX((NHAP_LIEU!$A$5:$A$10004=($J$2+17-2))*(NHAP_LIEU!$B$5:$B$10004=$A9),0),0),0))=0,"",SUM(INDEX(NHAP_LIEU!$H$5:$S$10004,MATCH(1,INDEX((NHAP_LIEU!$A$5:$A$10004=($J$2+17-2))*(NHAP_LIEU!$B$5:$B$10004=$A9),0),0),0))),""))</f>
        <v/>
      </c>
      <c r="R9" s="18">
        <f>IF(OR($A9="",MONTH(($J$2+18-2))&lt;&gt;MONTH($J$2)),"",IFERROR(IF(COUNT(INDEX(NHAP_LIEU!$H$5:$S$10004,MATCH(1,INDEX((NHAP_LIEU!$A$5:$A$10004=($J$2+18-2))*(NHAP_LIEU!$B$5:$B$10004=$A9),0),0),0))=0,"",SUM(INDEX(NHAP_LIEU!$H$5:$S$10004,MATCH(1,INDEX((NHAP_LIEU!$A$5:$A$10004=($J$2+18-2))*(NHAP_LIEU!$B$5:$B$10004=$A9),0),0),0))),""))</f>
        <v/>
      </c>
      <c r="S9" s="18">
        <f>IF(OR($A9="",MONTH(($J$2+19-2))&lt;&gt;MONTH($J$2)),"",IFERROR(IF(COUNT(INDEX(NHAP_LIEU!$H$5:$S$10004,MATCH(1,INDEX((NHAP_LIEU!$A$5:$A$10004=($J$2+19-2))*(NHAP_LIEU!$B$5:$B$10004=$A9),0),0),0))=0,"",SUM(INDEX(NHAP_LIEU!$H$5:$S$10004,MATCH(1,INDEX((NHAP_LIEU!$A$5:$A$10004=($J$2+19-2))*(NHAP_LIEU!$B$5:$B$10004=$A9),0),0),0))),""))</f>
        <v/>
      </c>
      <c r="T9" s="18">
        <f>IF(OR($A9="",MONTH(($J$2+20-2))&lt;&gt;MONTH($J$2)),"",IFERROR(IF(COUNT(INDEX(NHAP_LIEU!$H$5:$S$10004,MATCH(1,INDEX((NHAP_LIEU!$A$5:$A$10004=($J$2+20-2))*(NHAP_LIEU!$B$5:$B$10004=$A9),0),0),0))=0,"",SUM(INDEX(NHAP_LIEU!$H$5:$S$10004,MATCH(1,INDEX((NHAP_LIEU!$A$5:$A$10004=($J$2+20-2))*(NHAP_LIEU!$B$5:$B$10004=$A9),0),0),0))),""))</f>
        <v/>
      </c>
      <c r="U9" s="18">
        <f>IF(OR($A9="",MONTH(($J$2+21-2))&lt;&gt;MONTH($J$2)),"",IFERROR(IF(COUNT(INDEX(NHAP_LIEU!$H$5:$S$10004,MATCH(1,INDEX((NHAP_LIEU!$A$5:$A$10004=($J$2+21-2))*(NHAP_LIEU!$B$5:$B$10004=$A9),0),0),0))=0,"",SUM(INDEX(NHAP_LIEU!$H$5:$S$10004,MATCH(1,INDEX((NHAP_LIEU!$A$5:$A$10004=($J$2+21-2))*(NHAP_LIEU!$B$5:$B$10004=$A9),0),0),0))),""))</f>
        <v/>
      </c>
      <c r="V9" s="18">
        <f>IF(OR($A9="",MONTH(($J$2+22-2))&lt;&gt;MONTH($J$2)),"",IFERROR(IF(COUNT(INDEX(NHAP_LIEU!$H$5:$S$10004,MATCH(1,INDEX((NHAP_LIEU!$A$5:$A$10004=($J$2+22-2))*(NHAP_LIEU!$B$5:$B$10004=$A9),0),0),0))=0,"",SUM(INDEX(NHAP_LIEU!$H$5:$S$10004,MATCH(1,INDEX((NHAP_LIEU!$A$5:$A$10004=($J$2+22-2))*(NHAP_LIEU!$B$5:$B$10004=$A9),0),0),0))),""))</f>
        <v/>
      </c>
      <c r="W9" s="18">
        <f>IF(OR($A9="",MONTH(($J$2+23-2))&lt;&gt;MONTH($J$2)),"",IFERROR(IF(COUNT(INDEX(NHAP_LIEU!$H$5:$S$10004,MATCH(1,INDEX((NHAP_LIEU!$A$5:$A$10004=($J$2+23-2))*(NHAP_LIEU!$B$5:$B$10004=$A9),0),0),0))=0,"",SUM(INDEX(NHAP_LIEU!$H$5:$S$10004,MATCH(1,INDEX((NHAP_LIEU!$A$5:$A$10004=($J$2+23-2))*(NHAP_LIEU!$B$5:$B$10004=$A9),0),0),0))),""))</f>
        <v/>
      </c>
      <c r="X9" s="18">
        <f>IF(OR($A9="",MONTH(($J$2+24-2))&lt;&gt;MONTH($J$2)),"",IFERROR(IF(COUNT(INDEX(NHAP_LIEU!$H$5:$S$10004,MATCH(1,INDEX((NHAP_LIEU!$A$5:$A$10004=($J$2+24-2))*(NHAP_LIEU!$B$5:$B$10004=$A9),0),0),0))=0,"",SUM(INDEX(NHAP_LIEU!$H$5:$S$10004,MATCH(1,INDEX((NHAP_LIEU!$A$5:$A$10004=($J$2+24-2))*(NHAP_LIEU!$B$5:$B$10004=$A9),0),0),0))),""))</f>
        <v/>
      </c>
      <c r="Y9" s="18">
        <f>IF(OR($A9="",MONTH(($J$2+25-2))&lt;&gt;MONTH($J$2)),"",IFERROR(IF(COUNT(INDEX(NHAP_LIEU!$H$5:$S$10004,MATCH(1,INDEX((NHAP_LIEU!$A$5:$A$10004=($J$2+25-2))*(NHAP_LIEU!$B$5:$B$10004=$A9),0),0),0))=0,"",SUM(INDEX(NHAP_LIEU!$H$5:$S$10004,MATCH(1,INDEX((NHAP_LIEU!$A$5:$A$10004=($J$2+25-2))*(NHAP_LIEU!$B$5:$B$10004=$A9),0),0),0))),""))</f>
        <v/>
      </c>
      <c r="Z9" s="18">
        <f>IF(OR($A9="",MONTH(($J$2+26-2))&lt;&gt;MONTH($J$2)),"",IFERROR(IF(COUNT(INDEX(NHAP_LIEU!$H$5:$S$10004,MATCH(1,INDEX((NHAP_LIEU!$A$5:$A$10004=($J$2+26-2))*(NHAP_LIEU!$B$5:$B$10004=$A9),0),0),0))=0,"",SUM(INDEX(NHAP_LIEU!$H$5:$S$10004,MATCH(1,INDEX((NHAP_LIEU!$A$5:$A$10004=($J$2+26-2))*(NHAP_LIEU!$B$5:$B$10004=$A9),0),0),0))),""))</f>
        <v/>
      </c>
      <c r="AA9" s="18">
        <f>IF(OR($A9="",MONTH(($J$2+27-2))&lt;&gt;MONTH($J$2)),"",IFERROR(IF(COUNT(INDEX(NHAP_LIEU!$H$5:$S$10004,MATCH(1,INDEX((NHAP_LIEU!$A$5:$A$10004=($J$2+27-2))*(NHAP_LIEU!$B$5:$B$10004=$A9),0),0),0))=0,"",SUM(INDEX(NHAP_LIEU!$H$5:$S$10004,MATCH(1,INDEX((NHAP_LIEU!$A$5:$A$10004=($J$2+27-2))*(NHAP_LIEU!$B$5:$B$10004=$A9),0),0),0))),""))</f>
        <v/>
      </c>
      <c r="AB9" s="18">
        <f>IF(OR($A9="",MONTH(($J$2+28-2))&lt;&gt;MONTH($J$2)),"",IFERROR(IF(COUNT(INDEX(NHAP_LIEU!$H$5:$S$10004,MATCH(1,INDEX((NHAP_LIEU!$A$5:$A$10004=($J$2+28-2))*(NHAP_LIEU!$B$5:$B$10004=$A9),0),0),0))=0,"",SUM(INDEX(NHAP_LIEU!$H$5:$S$10004,MATCH(1,INDEX((NHAP_LIEU!$A$5:$A$10004=($J$2+28-2))*(NHAP_LIEU!$B$5:$B$10004=$A9),0),0),0))),""))</f>
        <v/>
      </c>
      <c r="AC9" s="18">
        <f>IF(OR($A9="",MONTH(($J$2+29-2))&lt;&gt;MONTH($J$2)),"",IFERROR(IF(COUNT(INDEX(NHAP_LIEU!$H$5:$S$10004,MATCH(1,INDEX((NHAP_LIEU!$A$5:$A$10004=($J$2+29-2))*(NHAP_LIEU!$B$5:$B$10004=$A9),0),0),0))=0,"",SUM(INDEX(NHAP_LIEU!$H$5:$S$10004,MATCH(1,INDEX((NHAP_LIEU!$A$5:$A$10004=($J$2+29-2))*(NHAP_LIEU!$B$5:$B$10004=$A9),0),0),0))),""))</f>
        <v/>
      </c>
      <c r="AD9" s="18">
        <f>IF(OR($A9="",MONTH(($J$2+30-2))&lt;&gt;MONTH($J$2)),"",IFERROR(IF(COUNT(INDEX(NHAP_LIEU!$H$5:$S$10004,MATCH(1,INDEX((NHAP_LIEU!$A$5:$A$10004=($J$2+30-2))*(NHAP_LIEU!$B$5:$B$10004=$A9),0),0),0))=0,"",SUM(INDEX(NHAP_LIEU!$H$5:$S$10004,MATCH(1,INDEX((NHAP_LIEU!$A$5:$A$10004=($J$2+30-2))*(NHAP_LIEU!$B$5:$B$10004=$A9),0),0),0))),""))</f>
        <v/>
      </c>
      <c r="AE9" s="18">
        <f>IF(OR($A9="",MONTH(($J$2+31-2))&lt;&gt;MONTH($J$2)),"",IFERROR(IF(COUNT(INDEX(NHAP_LIEU!$H$5:$S$10004,MATCH(1,INDEX((NHAP_LIEU!$A$5:$A$10004=($J$2+31-2))*(NHAP_LIEU!$B$5:$B$10004=$A9),0),0),0))=0,"",SUM(INDEX(NHAP_LIEU!$H$5:$S$10004,MATCH(1,INDEX((NHAP_LIEU!$A$5:$A$10004=($J$2+31-2))*(NHAP_LIEU!$B$5:$B$10004=$A9),0),0),0))),""))</f>
        <v/>
      </c>
      <c r="AF9" s="18">
        <f>IF(OR($A9="",MONTH(($J$2+32-2))&lt;&gt;MONTH($J$2)),"",IFERROR(IF(COUNT(INDEX(NHAP_LIEU!$H$5:$S$10004,MATCH(1,INDEX((NHAP_LIEU!$A$5:$A$10004=($J$2+32-2))*(NHAP_LIEU!$B$5:$B$10004=$A9),0),0),0))=0,"",SUM(INDEX(NHAP_LIEU!$H$5:$S$10004,MATCH(1,INDEX((NHAP_LIEU!$A$5:$A$10004=($J$2+32-2))*(NHAP_LIEU!$B$5:$B$10004=$A9),0),0),0))),""))</f>
        <v/>
      </c>
      <c r="AG9" s="48">
        <f>IF($A9="","",SUM(B9:AF9))</f>
        <v/>
      </c>
      <c r="AH9" s="18">
        <f>IF($A9="","",SUMPRODUCT((NHAP_LIEU!$B$5:$B$10004=$A9)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9" s="49">
        <f>IF(OR($A9="",N(AH9)=0),"",AG9/AH9)</f>
        <v/>
      </c>
    </row>
    <row r="10">
      <c r="A10" s="47">
        <f>IF(DANH_SACH_CHUYEN!B9="","",DANH_SACH_CHUYEN!B9)</f>
        <v/>
      </c>
      <c r="B10" s="18">
        <f>IF(OR($A10="",MONTH(($J$2+2-2))&lt;&gt;MONTH($J$2)),"",IFERROR(IF(COUNT(INDEX(NHAP_LIEU!$H$5:$S$10004,MATCH(1,INDEX((NHAP_LIEU!$A$5:$A$10004=($J$2+2-2))*(NHAP_LIEU!$B$5:$B$10004=$A10),0),0),0))=0,"",SUM(INDEX(NHAP_LIEU!$H$5:$S$10004,MATCH(1,INDEX((NHAP_LIEU!$A$5:$A$10004=($J$2+2-2))*(NHAP_LIEU!$B$5:$B$10004=$A10),0),0),0))),""))</f>
        <v/>
      </c>
      <c r="C10" s="18">
        <f>IF(OR($A10="",MONTH(($J$2+3-2))&lt;&gt;MONTH($J$2)),"",IFERROR(IF(COUNT(INDEX(NHAP_LIEU!$H$5:$S$10004,MATCH(1,INDEX((NHAP_LIEU!$A$5:$A$10004=($J$2+3-2))*(NHAP_LIEU!$B$5:$B$10004=$A10),0),0),0))=0,"",SUM(INDEX(NHAP_LIEU!$H$5:$S$10004,MATCH(1,INDEX((NHAP_LIEU!$A$5:$A$10004=($J$2+3-2))*(NHAP_LIEU!$B$5:$B$10004=$A10),0),0),0))),""))</f>
        <v/>
      </c>
      <c r="D10" s="18">
        <f>IF(OR($A10="",MONTH(($J$2+4-2))&lt;&gt;MONTH($J$2)),"",IFERROR(IF(COUNT(INDEX(NHAP_LIEU!$H$5:$S$10004,MATCH(1,INDEX((NHAP_LIEU!$A$5:$A$10004=($J$2+4-2))*(NHAP_LIEU!$B$5:$B$10004=$A10),0),0),0))=0,"",SUM(INDEX(NHAP_LIEU!$H$5:$S$10004,MATCH(1,INDEX((NHAP_LIEU!$A$5:$A$10004=($J$2+4-2))*(NHAP_LIEU!$B$5:$B$10004=$A10),0),0),0))),""))</f>
        <v/>
      </c>
      <c r="E10" s="18">
        <f>IF(OR($A10="",MONTH(($J$2+5-2))&lt;&gt;MONTH($J$2)),"",IFERROR(IF(COUNT(INDEX(NHAP_LIEU!$H$5:$S$10004,MATCH(1,INDEX((NHAP_LIEU!$A$5:$A$10004=($J$2+5-2))*(NHAP_LIEU!$B$5:$B$10004=$A10),0),0),0))=0,"",SUM(INDEX(NHAP_LIEU!$H$5:$S$10004,MATCH(1,INDEX((NHAP_LIEU!$A$5:$A$10004=($J$2+5-2))*(NHAP_LIEU!$B$5:$B$10004=$A10),0),0),0))),""))</f>
        <v/>
      </c>
      <c r="F10" s="18">
        <f>IF(OR($A10="",MONTH(($J$2+6-2))&lt;&gt;MONTH($J$2)),"",IFERROR(IF(COUNT(INDEX(NHAP_LIEU!$H$5:$S$10004,MATCH(1,INDEX((NHAP_LIEU!$A$5:$A$10004=($J$2+6-2))*(NHAP_LIEU!$B$5:$B$10004=$A10),0),0),0))=0,"",SUM(INDEX(NHAP_LIEU!$H$5:$S$10004,MATCH(1,INDEX((NHAP_LIEU!$A$5:$A$10004=($J$2+6-2))*(NHAP_LIEU!$B$5:$B$10004=$A10),0),0),0))),""))</f>
        <v/>
      </c>
      <c r="G10" s="18">
        <f>IF(OR($A10="",MONTH(($J$2+7-2))&lt;&gt;MONTH($J$2)),"",IFERROR(IF(COUNT(INDEX(NHAP_LIEU!$H$5:$S$10004,MATCH(1,INDEX((NHAP_LIEU!$A$5:$A$10004=($J$2+7-2))*(NHAP_LIEU!$B$5:$B$10004=$A10),0),0),0))=0,"",SUM(INDEX(NHAP_LIEU!$H$5:$S$10004,MATCH(1,INDEX((NHAP_LIEU!$A$5:$A$10004=($J$2+7-2))*(NHAP_LIEU!$B$5:$B$10004=$A10),0),0),0))),""))</f>
        <v/>
      </c>
      <c r="H10" s="18">
        <f>IF(OR($A10="",MONTH(($J$2+8-2))&lt;&gt;MONTH($J$2)),"",IFERROR(IF(COUNT(INDEX(NHAP_LIEU!$H$5:$S$10004,MATCH(1,INDEX((NHAP_LIEU!$A$5:$A$10004=($J$2+8-2))*(NHAP_LIEU!$B$5:$B$10004=$A10),0),0),0))=0,"",SUM(INDEX(NHAP_LIEU!$H$5:$S$10004,MATCH(1,INDEX((NHAP_LIEU!$A$5:$A$10004=($J$2+8-2))*(NHAP_LIEU!$B$5:$B$10004=$A10),0),0),0))),""))</f>
        <v/>
      </c>
      <c r="I10" s="18">
        <f>IF(OR($A10="",MONTH(($J$2+9-2))&lt;&gt;MONTH($J$2)),"",IFERROR(IF(COUNT(INDEX(NHAP_LIEU!$H$5:$S$10004,MATCH(1,INDEX((NHAP_LIEU!$A$5:$A$10004=($J$2+9-2))*(NHAP_LIEU!$B$5:$B$10004=$A10),0),0),0))=0,"",SUM(INDEX(NHAP_LIEU!$H$5:$S$10004,MATCH(1,INDEX((NHAP_LIEU!$A$5:$A$10004=($J$2+9-2))*(NHAP_LIEU!$B$5:$B$10004=$A10),0),0),0))),""))</f>
        <v/>
      </c>
      <c r="J10" s="18">
        <f>IF(OR($A10="",MONTH(($J$2+10-2))&lt;&gt;MONTH($J$2)),"",IFERROR(IF(COUNT(INDEX(NHAP_LIEU!$H$5:$S$10004,MATCH(1,INDEX((NHAP_LIEU!$A$5:$A$10004=($J$2+10-2))*(NHAP_LIEU!$B$5:$B$10004=$A10),0),0),0))=0,"",SUM(INDEX(NHAP_LIEU!$H$5:$S$10004,MATCH(1,INDEX((NHAP_LIEU!$A$5:$A$10004=($J$2+10-2))*(NHAP_LIEU!$B$5:$B$10004=$A10),0),0),0))),""))</f>
        <v/>
      </c>
      <c r="K10" s="18">
        <f>IF(OR($A10="",MONTH(($J$2+11-2))&lt;&gt;MONTH($J$2)),"",IFERROR(IF(COUNT(INDEX(NHAP_LIEU!$H$5:$S$10004,MATCH(1,INDEX((NHAP_LIEU!$A$5:$A$10004=($J$2+11-2))*(NHAP_LIEU!$B$5:$B$10004=$A10),0),0),0))=0,"",SUM(INDEX(NHAP_LIEU!$H$5:$S$10004,MATCH(1,INDEX((NHAP_LIEU!$A$5:$A$10004=($J$2+11-2))*(NHAP_LIEU!$B$5:$B$10004=$A10),0),0),0))),""))</f>
        <v/>
      </c>
      <c r="L10" s="18">
        <f>IF(OR($A10="",MONTH(($J$2+12-2))&lt;&gt;MONTH($J$2)),"",IFERROR(IF(COUNT(INDEX(NHAP_LIEU!$H$5:$S$10004,MATCH(1,INDEX((NHAP_LIEU!$A$5:$A$10004=($J$2+12-2))*(NHAP_LIEU!$B$5:$B$10004=$A10),0),0),0))=0,"",SUM(INDEX(NHAP_LIEU!$H$5:$S$10004,MATCH(1,INDEX((NHAP_LIEU!$A$5:$A$10004=($J$2+12-2))*(NHAP_LIEU!$B$5:$B$10004=$A10),0),0),0))),""))</f>
        <v/>
      </c>
      <c r="M10" s="18">
        <f>IF(OR($A10="",MONTH(($J$2+13-2))&lt;&gt;MONTH($J$2)),"",IFERROR(IF(COUNT(INDEX(NHAP_LIEU!$H$5:$S$10004,MATCH(1,INDEX((NHAP_LIEU!$A$5:$A$10004=($J$2+13-2))*(NHAP_LIEU!$B$5:$B$10004=$A10),0),0),0))=0,"",SUM(INDEX(NHAP_LIEU!$H$5:$S$10004,MATCH(1,INDEX((NHAP_LIEU!$A$5:$A$10004=($J$2+13-2))*(NHAP_LIEU!$B$5:$B$10004=$A10),0),0),0))),""))</f>
        <v/>
      </c>
      <c r="N10" s="18">
        <f>IF(OR($A10="",MONTH(($J$2+14-2))&lt;&gt;MONTH($J$2)),"",IFERROR(IF(COUNT(INDEX(NHAP_LIEU!$H$5:$S$10004,MATCH(1,INDEX((NHAP_LIEU!$A$5:$A$10004=($J$2+14-2))*(NHAP_LIEU!$B$5:$B$10004=$A10),0),0),0))=0,"",SUM(INDEX(NHAP_LIEU!$H$5:$S$10004,MATCH(1,INDEX((NHAP_LIEU!$A$5:$A$10004=($J$2+14-2))*(NHAP_LIEU!$B$5:$B$10004=$A10),0),0),0))),""))</f>
        <v/>
      </c>
      <c r="O10" s="18">
        <f>IF(OR($A10="",MONTH(($J$2+15-2))&lt;&gt;MONTH($J$2)),"",IFERROR(IF(COUNT(INDEX(NHAP_LIEU!$H$5:$S$10004,MATCH(1,INDEX((NHAP_LIEU!$A$5:$A$10004=($J$2+15-2))*(NHAP_LIEU!$B$5:$B$10004=$A10),0),0),0))=0,"",SUM(INDEX(NHAP_LIEU!$H$5:$S$10004,MATCH(1,INDEX((NHAP_LIEU!$A$5:$A$10004=($J$2+15-2))*(NHAP_LIEU!$B$5:$B$10004=$A10),0),0),0))),""))</f>
        <v/>
      </c>
      <c r="P10" s="18">
        <f>IF(OR($A10="",MONTH(($J$2+16-2))&lt;&gt;MONTH($J$2)),"",IFERROR(IF(COUNT(INDEX(NHAP_LIEU!$H$5:$S$10004,MATCH(1,INDEX((NHAP_LIEU!$A$5:$A$10004=($J$2+16-2))*(NHAP_LIEU!$B$5:$B$10004=$A10),0),0),0))=0,"",SUM(INDEX(NHAP_LIEU!$H$5:$S$10004,MATCH(1,INDEX((NHAP_LIEU!$A$5:$A$10004=($J$2+16-2))*(NHAP_LIEU!$B$5:$B$10004=$A10),0),0),0))),""))</f>
        <v/>
      </c>
      <c r="Q10" s="18">
        <f>IF(OR($A10="",MONTH(($J$2+17-2))&lt;&gt;MONTH($J$2)),"",IFERROR(IF(COUNT(INDEX(NHAP_LIEU!$H$5:$S$10004,MATCH(1,INDEX((NHAP_LIEU!$A$5:$A$10004=($J$2+17-2))*(NHAP_LIEU!$B$5:$B$10004=$A10),0),0),0))=0,"",SUM(INDEX(NHAP_LIEU!$H$5:$S$10004,MATCH(1,INDEX((NHAP_LIEU!$A$5:$A$10004=($J$2+17-2))*(NHAP_LIEU!$B$5:$B$10004=$A10),0),0),0))),""))</f>
        <v/>
      </c>
      <c r="R10" s="18">
        <f>IF(OR($A10="",MONTH(($J$2+18-2))&lt;&gt;MONTH($J$2)),"",IFERROR(IF(COUNT(INDEX(NHAP_LIEU!$H$5:$S$10004,MATCH(1,INDEX((NHAP_LIEU!$A$5:$A$10004=($J$2+18-2))*(NHAP_LIEU!$B$5:$B$10004=$A10),0),0),0))=0,"",SUM(INDEX(NHAP_LIEU!$H$5:$S$10004,MATCH(1,INDEX((NHAP_LIEU!$A$5:$A$10004=($J$2+18-2))*(NHAP_LIEU!$B$5:$B$10004=$A10),0),0),0))),""))</f>
        <v/>
      </c>
      <c r="S10" s="18">
        <f>IF(OR($A10="",MONTH(($J$2+19-2))&lt;&gt;MONTH($J$2)),"",IFERROR(IF(COUNT(INDEX(NHAP_LIEU!$H$5:$S$10004,MATCH(1,INDEX((NHAP_LIEU!$A$5:$A$10004=($J$2+19-2))*(NHAP_LIEU!$B$5:$B$10004=$A10),0),0),0))=0,"",SUM(INDEX(NHAP_LIEU!$H$5:$S$10004,MATCH(1,INDEX((NHAP_LIEU!$A$5:$A$10004=($J$2+19-2))*(NHAP_LIEU!$B$5:$B$10004=$A10),0),0),0))),""))</f>
        <v/>
      </c>
      <c r="T10" s="18">
        <f>IF(OR($A10="",MONTH(($J$2+20-2))&lt;&gt;MONTH($J$2)),"",IFERROR(IF(COUNT(INDEX(NHAP_LIEU!$H$5:$S$10004,MATCH(1,INDEX((NHAP_LIEU!$A$5:$A$10004=($J$2+20-2))*(NHAP_LIEU!$B$5:$B$10004=$A10),0),0),0))=0,"",SUM(INDEX(NHAP_LIEU!$H$5:$S$10004,MATCH(1,INDEX((NHAP_LIEU!$A$5:$A$10004=($J$2+20-2))*(NHAP_LIEU!$B$5:$B$10004=$A10),0),0),0))),""))</f>
        <v/>
      </c>
      <c r="U10" s="18">
        <f>IF(OR($A10="",MONTH(($J$2+21-2))&lt;&gt;MONTH($J$2)),"",IFERROR(IF(COUNT(INDEX(NHAP_LIEU!$H$5:$S$10004,MATCH(1,INDEX((NHAP_LIEU!$A$5:$A$10004=($J$2+21-2))*(NHAP_LIEU!$B$5:$B$10004=$A10),0),0),0))=0,"",SUM(INDEX(NHAP_LIEU!$H$5:$S$10004,MATCH(1,INDEX((NHAP_LIEU!$A$5:$A$10004=($J$2+21-2))*(NHAP_LIEU!$B$5:$B$10004=$A10),0),0),0))),""))</f>
        <v/>
      </c>
      <c r="V10" s="18">
        <f>IF(OR($A10="",MONTH(($J$2+22-2))&lt;&gt;MONTH($J$2)),"",IFERROR(IF(COUNT(INDEX(NHAP_LIEU!$H$5:$S$10004,MATCH(1,INDEX((NHAP_LIEU!$A$5:$A$10004=($J$2+22-2))*(NHAP_LIEU!$B$5:$B$10004=$A10),0),0),0))=0,"",SUM(INDEX(NHAP_LIEU!$H$5:$S$10004,MATCH(1,INDEX((NHAP_LIEU!$A$5:$A$10004=($J$2+22-2))*(NHAP_LIEU!$B$5:$B$10004=$A10),0),0),0))),""))</f>
        <v/>
      </c>
      <c r="W10" s="18">
        <f>IF(OR($A10="",MONTH(($J$2+23-2))&lt;&gt;MONTH($J$2)),"",IFERROR(IF(COUNT(INDEX(NHAP_LIEU!$H$5:$S$10004,MATCH(1,INDEX((NHAP_LIEU!$A$5:$A$10004=($J$2+23-2))*(NHAP_LIEU!$B$5:$B$10004=$A10),0),0),0))=0,"",SUM(INDEX(NHAP_LIEU!$H$5:$S$10004,MATCH(1,INDEX((NHAP_LIEU!$A$5:$A$10004=($J$2+23-2))*(NHAP_LIEU!$B$5:$B$10004=$A10),0),0),0))),""))</f>
        <v/>
      </c>
      <c r="X10" s="18">
        <f>IF(OR($A10="",MONTH(($J$2+24-2))&lt;&gt;MONTH($J$2)),"",IFERROR(IF(COUNT(INDEX(NHAP_LIEU!$H$5:$S$10004,MATCH(1,INDEX((NHAP_LIEU!$A$5:$A$10004=($J$2+24-2))*(NHAP_LIEU!$B$5:$B$10004=$A10),0),0),0))=0,"",SUM(INDEX(NHAP_LIEU!$H$5:$S$10004,MATCH(1,INDEX((NHAP_LIEU!$A$5:$A$10004=($J$2+24-2))*(NHAP_LIEU!$B$5:$B$10004=$A10),0),0),0))),""))</f>
        <v/>
      </c>
      <c r="Y10" s="18">
        <f>IF(OR($A10="",MONTH(($J$2+25-2))&lt;&gt;MONTH($J$2)),"",IFERROR(IF(COUNT(INDEX(NHAP_LIEU!$H$5:$S$10004,MATCH(1,INDEX((NHAP_LIEU!$A$5:$A$10004=($J$2+25-2))*(NHAP_LIEU!$B$5:$B$10004=$A10),0),0),0))=0,"",SUM(INDEX(NHAP_LIEU!$H$5:$S$10004,MATCH(1,INDEX((NHAP_LIEU!$A$5:$A$10004=($J$2+25-2))*(NHAP_LIEU!$B$5:$B$10004=$A10),0),0),0))),""))</f>
        <v/>
      </c>
      <c r="Z10" s="18">
        <f>IF(OR($A10="",MONTH(($J$2+26-2))&lt;&gt;MONTH($J$2)),"",IFERROR(IF(COUNT(INDEX(NHAP_LIEU!$H$5:$S$10004,MATCH(1,INDEX((NHAP_LIEU!$A$5:$A$10004=($J$2+26-2))*(NHAP_LIEU!$B$5:$B$10004=$A10),0),0),0))=0,"",SUM(INDEX(NHAP_LIEU!$H$5:$S$10004,MATCH(1,INDEX((NHAP_LIEU!$A$5:$A$10004=($J$2+26-2))*(NHAP_LIEU!$B$5:$B$10004=$A10),0),0),0))),""))</f>
        <v/>
      </c>
      <c r="AA10" s="18">
        <f>IF(OR($A10="",MONTH(($J$2+27-2))&lt;&gt;MONTH($J$2)),"",IFERROR(IF(COUNT(INDEX(NHAP_LIEU!$H$5:$S$10004,MATCH(1,INDEX((NHAP_LIEU!$A$5:$A$10004=($J$2+27-2))*(NHAP_LIEU!$B$5:$B$10004=$A10),0),0),0))=0,"",SUM(INDEX(NHAP_LIEU!$H$5:$S$10004,MATCH(1,INDEX((NHAP_LIEU!$A$5:$A$10004=($J$2+27-2))*(NHAP_LIEU!$B$5:$B$10004=$A10),0),0),0))),""))</f>
        <v/>
      </c>
      <c r="AB10" s="18">
        <f>IF(OR($A10="",MONTH(($J$2+28-2))&lt;&gt;MONTH($J$2)),"",IFERROR(IF(COUNT(INDEX(NHAP_LIEU!$H$5:$S$10004,MATCH(1,INDEX((NHAP_LIEU!$A$5:$A$10004=($J$2+28-2))*(NHAP_LIEU!$B$5:$B$10004=$A10),0),0),0))=0,"",SUM(INDEX(NHAP_LIEU!$H$5:$S$10004,MATCH(1,INDEX((NHAP_LIEU!$A$5:$A$10004=($J$2+28-2))*(NHAP_LIEU!$B$5:$B$10004=$A10),0),0),0))),""))</f>
        <v/>
      </c>
      <c r="AC10" s="18">
        <f>IF(OR($A10="",MONTH(($J$2+29-2))&lt;&gt;MONTH($J$2)),"",IFERROR(IF(COUNT(INDEX(NHAP_LIEU!$H$5:$S$10004,MATCH(1,INDEX((NHAP_LIEU!$A$5:$A$10004=($J$2+29-2))*(NHAP_LIEU!$B$5:$B$10004=$A10),0),0),0))=0,"",SUM(INDEX(NHAP_LIEU!$H$5:$S$10004,MATCH(1,INDEX((NHAP_LIEU!$A$5:$A$10004=($J$2+29-2))*(NHAP_LIEU!$B$5:$B$10004=$A10),0),0),0))),""))</f>
        <v/>
      </c>
      <c r="AD10" s="18">
        <f>IF(OR($A10="",MONTH(($J$2+30-2))&lt;&gt;MONTH($J$2)),"",IFERROR(IF(COUNT(INDEX(NHAP_LIEU!$H$5:$S$10004,MATCH(1,INDEX((NHAP_LIEU!$A$5:$A$10004=($J$2+30-2))*(NHAP_LIEU!$B$5:$B$10004=$A10),0),0),0))=0,"",SUM(INDEX(NHAP_LIEU!$H$5:$S$10004,MATCH(1,INDEX((NHAP_LIEU!$A$5:$A$10004=($J$2+30-2))*(NHAP_LIEU!$B$5:$B$10004=$A10),0),0),0))),""))</f>
        <v/>
      </c>
      <c r="AE10" s="18">
        <f>IF(OR($A10="",MONTH(($J$2+31-2))&lt;&gt;MONTH($J$2)),"",IFERROR(IF(COUNT(INDEX(NHAP_LIEU!$H$5:$S$10004,MATCH(1,INDEX((NHAP_LIEU!$A$5:$A$10004=($J$2+31-2))*(NHAP_LIEU!$B$5:$B$10004=$A10),0),0),0))=0,"",SUM(INDEX(NHAP_LIEU!$H$5:$S$10004,MATCH(1,INDEX((NHAP_LIEU!$A$5:$A$10004=($J$2+31-2))*(NHAP_LIEU!$B$5:$B$10004=$A10),0),0),0))),""))</f>
        <v/>
      </c>
      <c r="AF10" s="18">
        <f>IF(OR($A10="",MONTH(($J$2+32-2))&lt;&gt;MONTH($J$2)),"",IFERROR(IF(COUNT(INDEX(NHAP_LIEU!$H$5:$S$10004,MATCH(1,INDEX((NHAP_LIEU!$A$5:$A$10004=($J$2+32-2))*(NHAP_LIEU!$B$5:$B$10004=$A10),0),0),0))=0,"",SUM(INDEX(NHAP_LIEU!$H$5:$S$10004,MATCH(1,INDEX((NHAP_LIEU!$A$5:$A$10004=($J$2+32-2))*(NHAP_LIEU!$B$5:$B$10004=$A10),0),0),0))),""))</f>
        <v/>
      </c>
      <c r="AG10" s="48">
        <f>IF($A10="","",SUM(B10:AF10))</f>
        <v/>
      </c>
      <c r="AH10" s="18">
        <f>IF($A10="","",SUMPRODUCT((NHAP_LIEU!$B$5:$B$10004=$A10)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10" s="49">
        <f>IF(OR($A10="",N(AH10)=0),"",AG10/AH10)</f>
        <v/>
      </c>
    </row>
    <row r="11">
      <c r="A11" s="47">
        <f>IF(DANH_SACH_CHUYEN!B10="","",DANH_SACH_CHUYEN!B10)</f>
        <v/>
      </c>
      <c r="B11" s="18">
        <f>IF(OR($A11="",MONTH(($J$2+2-2))&lt;&gt;MONTH($J$2)),"",IFERROR(IF(COUNT(INDEX(NHAP_LIEU!$H$5:$S$10004,MATCH(1,INDEX((NHAP_LIEU!$A$5:$A$10004=($J$2+2-2))*(NHAP_LIEU!$B$5:$B$10004=$A11),0),0),0))=0,"",SUM(INDEX(NHAP_LIEU!$H$5:$S$10004,MATCH(1,INDEX((NHAP_LIEU!$A$5:$A$10004=($J$2+2-2))*(NHAP_LIEU!$B$5:$B$10004=$A11),0),0),0))),""))</f>
        <v/>
      </c>
      <c r="C11" s="18">
        <f>IF(OR($A11="",MONTH(($J$2+3-2))&lt;&gt;MONTH($J$2)),"",IFERROR(IF(COUNT(INDEX(NHAP_LIEU!$H$5:$S$10004,MATCH(1,INDEX((NHAP_LIEU!$A$5:$A$10004=($J$2+3-2))*(NHAP_LIEU!$B$5:$B$10004=$A11),0),0),0))=0,"",SUM(INDEX(NHAP_LIEU!$H$5:$S$10004,MATCH(1,INDEX((NHAP_LIEU!$A$5:$A$10004=($J$2+3-2))*(NHAP_LIEU!$B$5:$B$10004=$A11),0),0),0))),""))</f>
        <v/>
      </c>
      <c r="D11" s="18">
        <f>IF(OR($A11="",MONTH(($J$2+4-2))&lt;&gt;MONTH($J$2)),"",IFERROR(IF(COUNT(INDEX(NHAP_LIEU!$H$5:$S$10004,MATCH(1,INDEX((NHAP_LIEU!$A$5:$A$10004=($J$2+4-2))*(NHAP_LIEU!$B$5:$B$10004=$A11),0),0),0))=0,"",SUM(INDEX(NHAP_LIEU!$H$5:$S$10004,MATCH(1,INDEX((NHAP_LIEU!$A$5:$A$10004=($J$2+4-2))*(NHAP_LIEU!$B$5:$B$10004=$A11),0),0),0))),""))</f>
        <v/>
      </c>
      <c r="E11" s="18">
        <f>IF(OR($A11="",MONTH(($J$2+5-2))&lt;&gt;MONTH($J$2)),"",IFERROR(IF(COUNT(INDEX(NHAP_LIEU!$H$5:$S$10004,MATCH(1,INDEX((NHAP_LIEU!$A$5:$A$10004=($J$2+5-2))*(NHAP_LIEU!$B$5:$B$10004=$A11),0),0),0))=0,"",SUM(INDEX(NHAP_LIEU!$H$5:$S$10004,MATCH(1,INDEX((NHAP_LIEU!$A$5:$A$10004=($J$2+5-2))*(NHAP_LIEU!$B$5:$B$10004=$A11),0),0),0))),""))</f>
        <v/>
      </c>
      <c r="F11" s="18">
        <f>IF(OR($A11="",MONTH(($J$2+6-2))&lt;&gt;MONTH($J$2)),"",IFERROR(IF(COUNT(INDEX(NHAP_LIEU!$H$5:$S$10004,MATCH(1,INDEX((NHAP_LIEU!$A$5:$A$10004=($J$2+6-2))*(NHAP_LIEU!$B$5:$B$10004=$A11),0),0),0))=0,"",SUM(INDEX(NHAP_LIEU!$H$5:$S$10004,MATCH(1,INDEX((NHAP_LIEU!$A$5:$A$10004=($J$2+6-2))*(NHAP_LIEU!$B$5:$B$10004=$A11),0),0),0))),""))</f>
        <v/>
      </c>
      <c r="G11" s="18">
        <f>IF(OR($A11="",MONTH(($J$2+7-2))&lt;&gt;MONTH($J$2)),"",IFERROR(IF(COUNT(INDEX(NHAP_LIEU!$H$5:$S$10004,MATCH(1,INDEX((NHAP_LIEU!$A$5:$A$10004=($J$2+7-2))*(NHAP_LIEU!$B$5:$B$10004=$A11),0),0),0))=0,"",SUM(INDEX(NHAP_LIEU!$H$5:$S$10004,MATCH(1,INDEX((NHAP_LIEU!$A$5:$A$10004=($J$2+7-2))*(NHAP_LIEU!$B$5:$B$10004=$A11),0),0),0))),""))</f>
        <v/>
      </c>
      <c r="H11" s="18">
        <f>IF(OR($A11="",MONTH(($J$2+8-2))&lt;&gt;MONTH($J$2)),"",IFERROR(IF(COUNT(INDEX(NHAP_LIEU!$H$5:$S$10004,MATCH(1,INDEX((NHAP_LIEU!$A$5:$A$10004=($J$2+8-2))*(NHAP_LIEU!$B$5:$B$10004=$A11),0),0),0))=0,"",SUM(INDEX(NHAP_LIEU!$H$5:$S$10004,MATCH(1,INDEX((NHAP_LIEU!$A$5:$A$10004=($J$2+8-2))*(NHAP_LIEU!$B$5:$B$10004=$A11),0),0),0))),""))</f>
        <v/>
      </c>
      <c r="I11" s="18">
        <f>IF(OR($A11="",MONTH(($J$2+9-2))&lt;&gt;MONTH($J$2)),"",IFERROR(IF(COUNT(INDEX(NHAP_LIEU!$H$5:$S$10004,MATCH(1,INDEX((NHAP_LIEU!$A$5:$A$10004=($J$2+9-2))*(NHAP_LIEU!$B$5:$B$10004=$A11),0),0),0))=0,"",SUM(INDEX(NHAP_LIEU!$H$5:$S$10004,MATCH(1,INDEX((NHAP_LIEU!$A$5:$A$10004=($J$2+9-2))*(NHAP_LIEU!$B$5:$B$10004=$A11),0),0),0))),""))</f>
        <v/>
      </c>
      <c r="J11" s="18">
        <f>IF(OR($A11="",MONTH(($J$2+10-2))&lt;&gt;MONTH($J$2)),"",IFERROR(IF(COUNT(INDEX(NHAP_LIEU!$H$5:$S$10004,MATCH(1,INDEX((NHAP_LIEU!$A$5:$A$10004=($J$2+10-2))*(NHAP_LIEU!$B$5:$B$10004=$A11),0),0),0))=0,"",SUM(INDEX(NHAP_LIEU!$H$5:$S$10004,MATCH(1,INDEX((NHAP_LIEU!$A$5:$A$10004=($J$2+10-2))*(NHAP_LIEU!$B$5:$B$10004=$A11),0),0),0))),""))</f>
        <v/>
      </c>
      <c r="K11" s="18">
        <f>IF(OR($A11="",MONTH(($J$2+11-2))&lt;&gt;MONTH($J$2)),"",IFERROR(IF(COUNT(INDEX(NHAP_LIEU!$H$5:$S$10004,MATCH(1,INDEX((NHAP_LIEU!$A$5:$A$10004=($J$2+11-2))*(NHAP_LIEU!$B$5:$B$10004=$A11),0),0),0))=0,"",SUM(INDEX(NHAP_LIEU!$H$5:$S$10004,MATCH(1,INDEX((NHAP_LIEU!$A$5:$A$10004=($J$2+11-2))*(NHAP_LIEU!$B$5:$B$10004=$A11),0),0),0))),""))</f>
        <v/>
      </c>
      <c r="L11" s="18">
        <f>IF(OR($A11="",MONTH(($J$2+12-2))&lt;&gt;MONTH($J$2)),"",IFERROR(IF(COUNT(INDEX(NHAP_LIEU!$H$5:$S$10004,MATCH(1,INDEX((NHAP_LIEU!$A$5:$A$10004=($J$2+12-2))*(NHAP_LIEU!$B$5:$B$10004=$A11),0),0),0))=0,"",SUM(INDEX(NHAP_LIEU!$H$5:$S$10004,MATCH(1,INDEX((NHAP_LIEU!$A$5:$A$10004=($J$2+12-2))*(NHAP_LIEU!$B$5:$B$10004=$A11),0),0),0))),""))</f>
        <v/>
      </c>
      <c r="M11" s="18">
        <f>IF(OR($A11="",MONTH(($J$2+13-2))&lt;&gt;MONTH($J$2)),"",IFERROR(IF(COUNT(INDEX(NHAP_LIEU!$H$5:$S$10004,MATCH(1,INDEX((NHAP_LIEU!$A$5:$A$10004=($J$2+13-2))*(NHAP_LIEU!$B$5:$B$10004=$A11),0),0),0))=0,"",SUM(INDEX(NHAP_LIEU!$H$5:$S$10004,MATCH(1,INDEX((NHAP_LIEU!$A$5:$A$10004=($J$2+13-2))*(NHAP_LIEU!$B$5:$B$10004=$A11),0),0),0))),""))</f>
        <v/>
      </c>
      <c r="N11" s="18">
        <f>IF(OR($A11="",MONTH(($J$2+14-2))&lt;&gt;MONTH($J$2)),"",IFERROR(IF(COUNT(INDEX(NHAP_LIEU!$H$5:$S$10004,MATCH(1,INDEX((NHAP_LIEU!$A$5:$A$10004=($J$2+14-2))*(NHAP_LIEU!$B$5:$B$10004=$A11),0),0),0))=0,"",SUM(INDEX(NHAP_LIEU!$H$5:$S$10004,MATCH(1,INDEX((NHAP_LIEU!$A$5:$A$10004=($J$2+14-2))*(NHAP_LIEU!$B$5:$B$10004=$A11),0),0),0))),""))</f>
        <v/>
      </c>
      <c r="O11" s="18">
        <f>IF(OR($A11="",MONTH(($J$2+15-2))&lt;&gt;MONTH($J$2)),"",IFERROR(IF(COUNT(INDEX(NHAP_LIEU!$H$5:$S$10004,MATCH(1,INDEX((NHAP_LIEU!$A$5:$A$10004=($J$2+15-2))*(NHAP_LIEU!$B$5:$B$10004=$A11),0),0),0))=0,"",SUM(INDEX(NHAP_LIEU!$H$5:$S$10004,MATCH(1,INDEX((NHAP_LIEU!$A$5:$A$10004=($J$2+15-2))*(NHAP_LIEU!$B$5:$B$10004=$A11),0),0),0))),""))</f>
        <v/>
      </c>
      <c r="P11" s="18">
        <f>IF(OR($A11="",MONTH(($J$2+16-2))&lt;&gt;MONTH($J$2)),"",IFERROR(IF(COUNT(INDEX(NHAP_LIEU!$H$5:$S$10004,MATCH(1,INDEX((NHAP_LIEU!$A$5:$A$10004=($J$2+16-2))*(NHAP_LIEU!$B$5:$B$10004=$A11),0),0),0))=0,"",SUM(INDEX(NHAP_LIEU!$H$5:$S$10004,MATCH(1,INDEX((NHAP_LIEU!$A$5:$A$10004=($J$2+16-2))*(NHAP_LIEU!$B$5:$B$10004=$A11),0),0),0))),""))</f>
        <v/>
      </c>
      <c r="Q11" s="18">
        <f>IF(OR($A11="",MONTH(($J$2+17-2))&lt;&gt;MONTH($J$2)),"",IFERROR(IF(COUNT(INDEX(NHAP_LIEU!$H$5:$S$10004,MATCH(1,INDEX((NHAP_LIEU!$A$5:$A$10004=($J$2+17-2))*(NHAP_LIEU!$B$5:$B$10004=$A11),0),0),0))=0,"",SUM(INDEX(NHAP_LIEU!$H$5:$S$10004,MATCH(1,INDEX((NHAP_LIEU!$A$5:$A$10004=($J$2+17-2))*(NHAP_LIEU!$B$5:$B$10004=$A11),0),0),0))),""))</f>
        <v/>
      </c>
      <c r="R11" s="18">
        <f>IF(OR($A11="",MONTH(($J$2+18-2))&lt;&gt;MONTH($J$2)),"",IFERROR(IF(COUNT(INDEX(NHAP_LIEU!$H$5:$S$10004,MATCH(1,INDEX((NHAP_LIEU!$A$5:$A$10004=($J$2+18-2))*(NHAP_LIEU!$B$5:$B$10004=$A11),0),0),0))=0,"",SUM(INDEX(NHAP_LIEU!$H$5:$S$10004,MATCH(1,INDEX((NHAP_LIEU!$A$5:$A$10004=($J$2+18-2))*(NHAP_LIEU!$B$5:$B$10004=$A11),0),0),0))),""))</f>
        <v/>
      </c>
      <c r="S11" s="18">
        <f>IF(OR($A11="",MONTH(($J$2+19-2))&lt;&gt;MONTH($J$2)),"",IFERROR(IF(COUNT(INDEX(NHAP_LIEU!$H$5:$S$10004,MATCH(1,INDEX((NHAP_LIEU!$A$5:$A$10004=($J$2+19-2))*(NHAP_LIEU!$B$5:$B$10004=$A11),0),0),0))=0,"",SUM(INDEX(NHAP_LIEU!$H$5:$S$10004,MATCH(1,INDEX((NHAP_LIEU!$A$5:$A$10004=($J$2+19-2))*(NHAP_LIEU!$B$5:$B$10004=$A11),0),0),0))),""))</f>
        <v/>
      </c>
      <c r="T11" s="18">
        <f>IF(OR($A11="",MONTH(($J$2+20-2))&lt;&gt;MONTH($J$2)),"",IFERROR(IF(COUNT(INDEX(NHAP_LIEU!$H$5:$S$10004,MATCH(1,INDEX((NHAP_LIEU!$A$5:$A$10004=($J$2+20-2))*(NHAP_LIEU!$B$5:$B$10004=$A11),0),0),0))=0,"",SUM(INDEX(NHAP_LIEU!$H$5:$S$10004,MATCH(1,INDEX((NHAP_LIEU!$A$5:$A$10004=($J$2+20-2))*(NHAP_LIEU!$B$5:$B$10004=$A11),0),0),0))),""))</f>
        <v/>
      </c>
      <c r="U11" s="18">
        <f>IF(OR($A11="",MONTH(($J$2+21-2))&lt;&gt;MONTH($J$2)),"",IFERROR(IF(COUNT(INDEX(NHAP_LIEU!$H$5:$S$10004,MATCH(1,INDEX((NHAP_LIEU!$A$5:$A$10004=($J$2+21-2))*(NHAP_LIEU!$B$5:$B$10004=$A11),0),0),0))=0,"",SUM(INDEX(NHAP_LIEU!$H$5:$S$10004,MATCH(1,INDEX((NHAP_LIEU!$A$5:$A$10004=($J$2+21-2))*(NHAP_LIEU!$B$5:$B$10004=$A11),0),0),0))),""))</f>
        <v/>
      </c>
      <c r="V11" s="18">
        <f>IF(OR($A11="",MONTH(($J$2+22-2))&lt;&gt;MONTH($J$2)),"",IFERROR(IF(COUNT(INDEX(NHAP_LIEU!$H$5:$S$10004,MATCH(1,INDEX((NHAP_LIEU!$A$5:$A$10004=($J$2+22-2))*(NHAP_LIEU!$B$5:$B$10004=$A11),0),0),0))=0,"",SUM(INDEX(NHAP_LIEU!$H$5:$S$10004,MATCH(1,INDEX((NHAP_LIEU!$A$5:$A$10004=($J$2+22-2))*(NHAP_LIEU!$B$5:$B$10004=$A11),0),0),0))),""))</f>
        <v/>
      </c>
      <c r="W11" s="18">
        <f>IF(OR($A11="",MONTH(($J$2+23-2))&lt;&gt;MONTH($J$2)),"",IFERROR(IF(COUNT(INDEX(NHAP_LIEU!$H$5:$S$10004,MATCH(1,INDEX((NHAP_LIEU!$A$5:$A$10004=($J$2+23-2))*(NHAP_LIEU!$B$5:$B$10004=$A11),0),0),0))=0,"",SUM(INDEX(NHAP_LIEU!$H$5:$S$10004,MATCH(1,INDEX((NHAP_LIEU!$A$5:$A$10004=($J$2+23-2))*(NHAP_LIEU!$B$5:$B$10004=$A11),0),0),0))),""))</f>
        <v/>
      </c>
      <c r="X11" s="18">
        <f>IF(OR($A11="",MONTH(($J$2+24-2))&lt;&gt;MONTH($J$2)),"",IFERROR(IF(COUNT(INDEX(NHAP_LIEU!$H$5:$S$10004,MATCH(1,INDEX((NHAP_LIEU!$A$5:$A$10004=($J$2+24-2))*(NHAP_LIEU!$B$5:$B$10004=$A11),0),0),0))=0,"",SUM(INDEX(NHAP_LIEU!$H$5:$S$10004,MATCH(1,INDEX((NHAP_LIEU!$A$5:$A$10004=($J$2+24-2))*(NHAP_LIEU!$B$5:$B$10004=$A11),0),0),0))),""))</f>
        <v/>
      </c>
      <c r="Y11" s="18">
        <f>IF(OR($A11="",MONTH(($J$2+25-2))&lt;&gt;MONTH($J$2)),"",IFERROR(IF(COUNT(INDEX(NHAP_LIEU!$H$5:$S$10004,MATCH(1,INDEX((NHAP_LIEU!$A$5:$A$10004=($J$2+25-2))*(NHAP_LIEU!$B$5:$B$10004=$A11),0),0),0))=0,"",SUM(INDEX(NHAP_LIEU!$H$5:$S$10004,MATCH(1,INDEX((NHAP_LIEU!$A$5:$A$10004=($J$2+25-2))*(NHAP_LIEU!$B$5:$B$10004=$A11),0),0),0))),""))</f>
        <v/>
      </c>
      <c r="Z11" s="18">
        <f>IF(OR($A11="",MONTH(($J$2+26-2))&lt;&gt;MONTH($J$2)),"",IFERROR(IF(COUNT(INDEX(NHAP_LIEU!$H$5:$S$10004,MATCH(1,INDEX((NHAP_LIEU!$A$5:$A$10004=($J$2+26-2))*(NHAP_LIEU!$B$5:$B$10004=$A11),0),0),0))=0,"",SUM(INDEX(NHAP_LIEU!$H$5:$S$10004,MATCH(1,INDEX((NHAP_LIEU!$A$5:$A$10004=($J$2+26-2))*(NHAP_LIEU!$B$5:$B$10004=$A11),0),0),0))),""))</f>
        <v/>
      </c>
      <c r="AA11" s="18">
        <f>IF(OR($A11="",MONTH(($J$2+27-2))&lt;&gt;MONTH($J$2)),"",IFERROR(IF(COUNT(INDEX(NHAP_LIEU!$H$5:$S$10004,MATCH(1,INDEX((NHAP_LIEU!$A$5:$A$10004=($J$2+27-2))*(NHAP_LIEU!$B$5:$B$10004=$A11),0),0),0))=0,"",SUM(INDEX(NHAP_LIEU!$H$5:$S$10004,MATCH(1,INDEX((NHAP_LIEU!$A$5:$A$10004=($J$2+27-2))*(NHAP_LIEU!$B$5:$B$10004=$A11),0),0),0))),""))</f>
        <v/>
      </c>
      <c r="AB11" s="18">
        <f>IF(OR($A11="",MONTH(($J$2+28-2))&lt;&gt;MONTH($J$2)),"",IFERROR(IF(COUNT(INDEX(NHAP_LIEU!$H$5:$S$10004,MATCH(1,INDEX((NHAP_LIEU!$A$5:$A$10004=($J$2+28-2))*(NHAP_LIEU!$B$5:$B$10004=$A11),0),0),0))=0,"",SUM(INDEX(NHAP_LIEU!$H$5:$S$10004,MATCH(1,INDEX((NHAP_LIEU!$A$5:$A$10004=($J$2+28-2))*(NHAP_LIEU!$B$5:$B$10004=$A11),0),0),0))),""))</f>
        <v/>
      </c>
      <c r="AC11" s="18">
        <f>IF(OR($A11="",MONTH(($J$2+29-2))&lt;&gt;MONTH($J$2)),"",IFERROR(IF(COUNT(INDEX(NHAP_LIEU!$H$5:$S$10004,MATCH(1,INDEX((NHAP_LIEU!$A$5:$A$10004=($J$2+29-2))*(NHAP_LIEU!$B$5:$B$10004=$A11),0),0),0))=0,"",SUM(INDEX(NHAP_LIEU!$H$5:$S$10004,MATCH(1,INDEX((NHAP_LIEU!$A$5:$A$10004=($J$2+29-2))*(NHAP_LIEU!$B$5:$B$10004=$A11),0),0),0))),""))</f>
        <v/>
      </c>
      <c r="AD11" s="18">
        <f>IF(OR($A11="",MONTH(($J$2+30-2))&lt;&gt;MONTH($J$2)),"",IFERROR(IF(COUNT(INDEX(NHAP_LIEU!$H$5:$S$10004,MATCH(1,INDEX((NHAP_LIEU!$A$5:$A$10004=($J$2+30-2))*(NHAP_LIEU!$B$5:$B$10004=$A11),0),0),0))=0,"",SUM(INDEX(NHAP_LIEU!$H$5:$S$10004,MATCH(1,INDEX((NHAP_LIEU!$A$5:$A$10004=($J$2+30-2))*(NHAP_LIEU!$B$5:$B$10004=$A11),0),0),0))),""))</f>
        <v/>
      </c>
      <c r="AE11" s="18">
        <f>IF(OR($A11="",MONTH(($J$2+31-2))&lt;&gt;MONTH($J$2)),"",IFERROR(IF(COUNT(INDEX(NHAP_LIEU!$H$5:$S$10004,MATCH(1,INDEX((NHAP_LIEU!$A$5:$A$10004=($J$2+31-2))*(NHAP_LIEU!$B$5:$B$10004=$A11),0),0),0))=0,"",SUM(INDEX(NHAP_LIEU!$H$5:$S$10004,MATCH(1,INDEX((NHAP_LIEU!$A$5:$A$10004=($J$2+31-2))*(NHAP_LIEU!$B$5:$B$10004=$A11),0),0),0))),""))</f>
        <v/>
      </c>
      <c r="AF11" s="18">
        <f>IF(OR($A11="",MONTH(($J$2+32-2))&lt;&gt;MONTH($J$2)),"",IFERROR(IF(COUNT(INDEX(NHAP_LIEU!$H$5:$S$10004,MATCH(1,INDEX((NHAP_LIEU!$A$5:$A$10004=($J$2+32-2))*(NHAP_LIEU!$B$5:$B$10004=$A11),0),0),0))=0,"",SUM(INDEX(NHAP_LIEU!$H$5:$S$10004,MATCH(1,INDEX((NHAP_LIEU!$A$5:$A$10004=($J$2+32-2))*(NHAP_LIEU!$B$5:$B$10004=$A11),0),0),0))),""))</f>
        <v/>
      </c>
      <c r="AG11" s="48">
        <f>IF($A11="","",SUM(B11:AF11))</f>
        <v/>
      </c>
      <c r="AH11" s="18">
        <f>IF($A11="","",SUMPRODUCT((NHAP_LIEU!$B$5:$B$10004=$A11)*(NHAP_LIEU!$A$5:$A$10004&gt;=$J$2)*(NHAP_LIEU!$A$5:$A$10004&lt;DATE(YEAR($J$2),MONTH($J$2)+1,1))*(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&gt;0)*ROUND(SUMIF(CAU_HINH_CA!$A$5:$A$50,NHAP_LIEU!$D$5:$D$10004,CAU_HINH_CA!$C$5:$C$50)*NHAP_LIEU!$E$5:$E$10004,0)))</f>
        <v/>
      </c>
      <c r="AI11" s="49">
        <f>IF(OR($A11="",N(AH11)=0),"",AG11/AH11)</f>
        <v/>
      </c>
    </row>
    <row r="12">
      <c r="A12" s="33" t="inlineStr">
        <is>
          <t>TỔNG</t>
        </is>
      </c>
      <c r="B12" s="36">
        <f>IF(COUNT(B6:B11)=0,"",SUM(B6:B11))</f>
        <v/>
      </c>
      <c r="C12" s="36">
        <f>IF(COUNT(C6:C11)=0,"",SUM(C6:C11))</f>
        <v/>
      </c>
      <c r="D12" s="36">
        <f>IF(COUNT(D6:D11)=0,"",SUM(D6:D11))</f>
        <v/>
      </c>
      <c r="E12" s="36">
        <f>IF(COUNT(E6:E11)=0,"",SUM(E6:E11))</f>
        <v/>
      </c>
      <c r="F12" s="36">
        <f>IF(COUNT(F6:F11)=0,"",SUM(F6:F11))</f>
        <v/>
      </c>
      <c r="G12" s="36">
        <f>IF(COUNT(G6:G11)=0,"",SUM(G6:G11))</f>
        <v/>
      </c>
      <c r="H12" s="36">
        <f>IF(COUNT(H6:H11)=0,"",SUM(H6:H11))</f>
        <v/>
      </c>
      <c r="I12" s="36">
        <f>IF(COUNT(I6:I11)=0,"",SUM(I6:I11))</f>
        <v/>
      </c>
      <c r="J12" s="36">
        <f>IF(COUNT(J6:J11)=0,"",SUM(J6:J11))</f>
        <v/>
      </c>
      <c r="K12" s="36">
        <f>IF(COUNT(K6:K11)=0,"",SUM(K6:K11))</f>
        <v/>
      </c>
      <c r="L12" s="36">
        <f>IF(COUNT(L6:L11)=0,"",SUM(L6:L11))</f>
        <v/>
      </c>
      <c r="M12" s="36">
        <f>IF(COUNT(M6:M11)=0,"",SUM(M6:M11))</f>
        <v/>
      </c>
      <c r="N12" s="36">
        <f>IF(COUNT(N6:N11)=0,"",SUM(N6:N11))</f>
        <v/>
      </c>
      <c r="O12" s="36">
        <f>IF(COUNT(O6:O11)=0,"",SUM(O6:O11))</f>
        <v/>
      </c>
      <c r="P12" s="36">
        <f>IF(COUNT(P6:P11)=0,"",SUM(P6:P11))</f>
        <v/>
      </c>
      <c r="Q12" s="36">
        <f>IF(COUNT(Q6:Q11)=0,"",SUM(Q6:Q11))</f>
        <v/>
      </c>
      <c r="R12" s="36">
        <f>IF(COUNT(R6:R11)=0,"",SUM(R6:R11))</f>
        <v/>
      </c>
      <c r="S12" s="36">
        <f>IF(COUNT(S6:S11)=0,"",SUM(S6:S11))</f>
        <v/>
      </c>
      <c r="T12" s="36">
        <f>IF(COUNT(T6:T11)=0,"",SUM(T6:T11))</f>
        <v/>
      </c>
      <c r="U12" s="36">
        <f>IF(COUNT(U6:U11)=0,"",SUM(U6:U11))</f>
        <v/>
      </c>
      <c r="V12" s="36">
        <f>IF(COUNT(V6:V11)=0,"",SUM(V6:V11))</f>
        <v/>
      </c>
      <c r="W12" s="36">
        <f>IF(COUNT(W6:W11)=0,"",SUM(W6:W11))</f>
        <v/>
      </c>
      <c r="X12" s="36">
        <f>IF(COUNT(X6:X11)=0,"",SUM(X6:X11))</f>
        <v/>
      </c>
      <c r="Y12" s="36">
        <f>IF(COUNT(Y6:Y11)=0,"",SUM(Y6:Y11))</f>
        <v/>
      </c>
      <c r="Z12" s="36">
        <f>IF(COUNT(Z6:Z11)=0,"",SUM(Z6:Z11))</f>
        <v/>
      </c>
      <c r="AA12" s="36">
        <f>IF(COUNT(AA6:AA11)=0,"",SUM(AA6:AA11))</f>
        <v/>
      </c>
      <c r="AB12" s="36">
        <f>IF(COUNT(AB6:AB11)=0,"",SUM(AB6:AB11))</f>
        <v/>
      </c>
      <c r="AC12" s="36">
        <f>IF(COUNT(AC6:AC11)=0,"",SUM(AC6:AC11))</f>
        <v/>
      </c>
      <c r="AD12" s="36">
        <f>IF(COUNT(AD6:AD11)=0,"",SUM(AD6:AD11))</f>
        <v/>
      </c>
      <c r="AE12" s="36">
        <f>IF(COUNT(AE6:AE11)=0,"",SUM(AE6:AE11))</f>
        <v/>
      </c>
      <c r="AF12" s="36">
        <f>IF(COUNT(AF6:AF11)=0,"",SUM(AF6:AF11))</f>
        <v/>
      </c>
      <c r="AG12" s="36">
        <f>SUM(AG6:AG11)</f>
        <v/>
      </c>
      <c r="AH12" s="36">
        <f>SUM(AH6:AH11)</f>
        <v/>
      </c>
      <c r="AI12" s="37">
        <f>IF(N(AH12)=0,"",AG12/AH12)</f>
        <v/>
      </c>
    </row>
    <row r="13">
      <c r="A13" s="33" t="inlineStr">
        <is>
          <t>MỤC TIÊU NGÀY</t>
        </is>
      </c>
      <c r="B13" s="50">
        <f>IF(MONTH(($J$2+2-2))&lt;&gt;MONTH($J$2),"",IF(COUNTIF(NHAP_LIEU!$A$5:$A$10004,($J$2+2-2))=0,"",SUMPRODUCT((NHAP_LIEU!$A$5:$A$10004=($J$2+2-2))*ROUND(SUMIF(CAU_HINH_CA!$A$5:$A$50,NHAP_LIEU!$D$5:$D$10004,CAU_HINH_CA!$C$5:$C$50)*NHAP_LIEU!$E$5:$E$10004,0))))</f>
        <v/>
      </c>
      <c r="C13" s="50">
        <f>IF(MONTH(($J$2+3-2))&lt;&gt;MONTH($J$2),"",IF(COUNTIF(NHAP_LIEU!$A$5:$A$10004,($J$2+3-2))=0,"",SUMPRODUCT((NHAP_LIEU!$A$5:$A$10004=($J$2+3-2))*ROUND(SUMIF(CAU_HINH_CA!$A$5:$A$50,NHAP_LIEU!$D$5:$D$10004,CAU_HINH_CA!$C$5:$C$50)*NHAP_LIEU!$E$5:$E$10004,0))))</f>
        <v/>
      </c>
      <c r="D13" s="50">
        <f>IF(MONTH(($J$2+4-2))&lt;&gt;MONTH($J$2),"",IF(COUNTIF(NHAP_LIEU!$A$5:$A$10004,($J$2+4-2))=0,"",SUMPRODUCT((NHAP_LIEU!$A$5:$A$10004=($J$2+4-2))*ROUND(SUMIF(CAU_HINH_CA!$A$5:$A$50,NHAP_LIEU!$D$5:$D$10004,CAU_HINH_CA!$C$5:$C$50)*NHAP_LIEU!$E$5:$E$10004,0))))</f>
        <v/>
      </c>
      <c r="E13" s="50">
        <f>IF(MONTH(($J$2+5-2))&lt;&gt;MONTH($J$2),"",IF(COUNTIF(NHAP_LIEU!$A$5:$A$10004,($J$2+5-2))=0,"",SUMPRODUCT((NHAP_LIEU!$A$5:$A$10004=($J$2+5-2))*ROUND(SUMIF(CAU_HINH_CA!$A$5:$A$50,NHAP_LIEU!$D$5:$D$10004,CAU_HINH_CA!$C$5:$C$50)*NHAP_LIEU!$E$5:$E$10004,0))))</f>
        <v/>
      </c>
      <c r="F13" s="50">
        <f>IF(MONTH(($J$2+6-2))&lt;&gt;MONTH($J$2),"",IF(COUNTIF(NHAP_LIEU!$A$5:$A$10004,($J$2+6-2))=0,"",SUMPRODUCT((NHAP_LIEU!$A$5:$A$10004=($J$2+6-2))*ROUND(SUMIF(CAU_HINH_CA!$A$5:$A$50,NHAP_LIEU!$D$5:$D$10004,CAU_HINH_CA!$C$5:$C$50)*NHAP_LIEU!$E$5:$E$10004,0))))</f>
        <v/>
      </c>
      <c r="G13" s="50">
        <f>IF(MONTH(($J$2+7-2))&lt;&gt;MONTH($J$2),"",IF(COUNTIF(NHAP_LIEU!$A$5:$A$10004,($J$2+7-2))=0,"",SUMPRODUCT((NHAP_LIEU!$A$5:$A$10004=($J$2+7-2))*ROUND(SUMIF(CAU_HINH_CA!$A$5:$A$50,NHAP_LIEU!$D$5:$D$10004,CAU_HINH_CA!$C$5:$C$50)*NHAP_LIEU!$E$5:$E$10004,0))))</f>
        <v/>
      </c>
      <c r="H13" s="50">
        <f>IF(MONTH(($J$2+8-2))&lt;&gt;MONTH($J$2),"",IF(COUNTIF(NHAP_LIEU!$A$5:$A$10004,($J$2+8-2))=0,"",SUMPRODUCT((NHAP_LIEU!$A$5:$A$10004=($J$2+8-2))*ROUND(SUMIF(CAU_HINH_CA!$A$5:$A$50,NHAP_LIEU!$D$5:$D$10004,CAU_HINH_CA!$C$5:$C$50)*NHAP_LIEU!$E$5:$E$10004,0))))</f>
        <v/>
      </c>
      <c r="I13" s="50">
        <f>IF(MONTH(($J$2+9-2))&lt;&gt;MONTH($J$2),"",IF(COUNTIF(NHAP_LIEU!$A$5:$A$10004,($J$2+9-2))=0,"",SUMPRODUCT((NHAP_LIEU!$A$5:$A$10004=($J$2+9-2))*ROUND(SUMIF(CAU_HINH_CA!$A$5:$A$50,NHAP_LIEU!$D$5:$D$10004,CAU_HINH_CA!$C$5:$C$50)*NHAP_LIEU!$E$5:$E$10004,0))))</f>
        <v/>
      </c>
      <c r="J13" s="50">
        <f>IF(MONTH(($J$2+10-2))&lt;&gt;MONTH($J$2),"",IF(COUNTIF(NHAP_LIEU!$A$5:$A$10004,($J$2+10-2))=0,"",SUMPRODUCT((NHAP_LIEU!$A$5:$A$10004=($J$2+10-2))*ROUND(SUMIF(CAU_HINH_CA!$A$5:$A$50,NHAP_LIEU!$D$5:$D$10004,CAU_HINH_CA!$C$5:$C$50)*NHAP_LIEU!$E$5:$E$10004,0))))</f>
        <v/>
      </c>
      <c r="K13" s="50">
        <f>IF(MONTH(($J$2+11-2))&lt;&gt;MONTH($J$2),"",IF(COUNTIF(NHAP_LIEU!$A$5:$A$10004,($J$2+11-2))=0,"",SUMPRODUCT((NHAP_LIEU!$A$5:$A$10004=($J$2+11-2))*ROUND(SUMIF(CAU_HINH_CA!$A$5:$A$50,NHAP_LIEU!$D$5:$D$10004,CAU_HINH_CA!$C$5:$C$50)*NHAP_LIEU!$E$5:$E$10004,0))))</f>
        <v/>
      </c>
      <c r="L13" s="50">
        <f>IF(MONTH(($J$2+12-2))&lt;&gt;MONTH($J$2),"",IF(COUNTIF(NHAP_LIEU!$A$5:$A$10004,($J$2+12-2))=0,"",SUMPRODUCT((NHAP_LIEU!$A$5:$A$10004=($J$2+12-2))*ROUND(SUMIF(CAU_HINH_CA!$A$5:$A$50,NHAP_LIEU!$D$5:$D$10004,CAU_HINH_CA!$C$5:$C$50)*NHAP_LIEU!$E$5:$E$10004,0))))</f>
        <v/>
      </c>
      <c r="M13" s="50">
        <f>IF(MONTH(($J$2+13-2))&lt;&gt;MONTH($J$2),"",IF(COUNTIF(NHAP_LIEU!$A$5:$A$10004,($J$2+13-2))=0,"",SUMPRODUCT((NHAP_LIEU!$A$5:$A$10004=($J$2+13-2))*ROUND(SUMIF(CAU_HINH_CA!$A$5:$A$50,NHAP_LIEU!$D$5:$D$10004,CAU_HINH_CA!$C$5:$C$50)*NHAP_LIEU!$E$5:$E$10004,0))))</f>
        <v/>
      </c>
      <c r="N13" s="50">
        <f>IF(MONTH(($J$2+14-2))&lt;&gt;MONTH($J$2),"",IF(COUNTIF(NHAP_LIEU!$A$5:$A$10004,($J$2+14-2))=0,"",SUMPRODUCT((NHAP_LIEU!$A$5:$A$10004=($J$2+14-2))*ROUND(SUMIF(CAU_HINH_CA!$A$5:$A$50,NHAP_LIEU!$D$5:$D$10004,CAU_HINH_CA!$C$5:$C$50)*NHAP_LIEU!$E$5:$E$10004,0))))</f>
        <v/>
      </c>
      <c r="O13" s="50">
        <f>IF(MONTH(($J$2+15-2))&lt;&gt;MONTH($J$2),"",IF(COUNTIF(NHAP_LIEU!$A$5:$A$10004,($J$2+15-2))=0,"",SUMPRODUCT((NHAP_LIEU!$A$5:$A$10004=($J$2+15-2))*ROUND(SUMIF(CAU_HINH_CA!$A$5:$A$50,NHAP_LIEU!$D$5:$D$10004,CAU_HINH_CA!$C$5:$C$50)*NHAP_LIEU!$E$5:$E$10004,0))))</f>
        <v/>
      </c>
      <c r="P13" s="50">
        <f>IF(MONTH(($J$2+16-2))&lt;&gt;MONTH($J$2),"",IF(COUNTIF(NHAP_LIEU!$A$5:$A$10004,($J$2+16-2))=0,"",SUMPRODUCT((NHAP_LIEU!$A$5:$A$10004=($J$2+16-2))*ROUND(SUMIF(CAU_HINH_CA!$A$5:$A$50,NHAP_LIEU!$D$5:$D$10004,CAU_HINH_CA!$C$5:$C$50)*NHAP_LIEU!$E$5:$E$10004,0))))</f>
        <v/>
      </c>
      <c r="Q13" s="50">
        <f>IF(MONTH(($J$2+17-2))&lt;&gt;MONTH($J$2),"",IF(COUNTIF(NHAP_LIEU!$A$5:$A$10004,($J$2+17-2))=0,"",SUMPRODUCT((NHAP_LIEU!$A$5:$A$10004=($J$2+17-2))*ROUND(SUMIF(CAU_HINH_CA!$A$5:$A$50,NHAP_LIEU!$D$5:$D$10004,CAU_HINH_CA!$C$5:$C$50)*NHAP_LIEU!$E$5:$E$10004,0))))</f>
        <v/>
      </c>
      <c r="R13" s="50">
        <f>IF(MONTH(($J$2+18-2))&lt;&gt;MONTH($J$2),"",IF(COUNTIF(NHAP_LIEU!$A$5:$A$10004,($J$2+18-2))=0,"",SUMPRODUCT((NHAP_LIEU!$A$5:$A$10004=($J$2+18-2))*ROUND(SUMIF(CAU_HINH_CA!$A$5:$A$50,NHAP_LIEU!$D$5:$D$10004,CAU_HINH_CA!$C$5:$C$50)*NHAP_LIEU!$E$5:$E$10004,0))))</f>
        <v/>
      </c>
      <c r="S13" s="50">
        <f>IF(MONTH(($J$2+19-2))&lt;&gt;MONTH($J$2),"",IF(COUNTIF(NHAP_LIEU!$A$5:$A$10004,($J$2+19-2))=0,"",SUMPRODUCT((NHAP_LIEU!$A$5:$A$10004=($J$2+19-2))*ROUND(SUMIF(CAU_HINH_CA!$A$5:$A$50,NHAP_LIEU!$D$5:$D$10004,CAU_HINH_CA!$C$5:$C$50)*NHAP_LIEU!$E$5:$E$10004,0))))</f>
        <v/>
      </c>
      <c r="T13" s="50">
        <f>IF(MONTH(($J$2+20-2))&lt;&gt;MONTH($J$2),"",IF(COUNTIF(NHAP_LIEU!$A$5:$A$10004,($J$2+20-2))=0,"",SUMPRODUCT((NHAP_LIEU!$A$5:$A$10004=($J$2+20-2))*ROUND(SUMIF(CAU_HINH_CA!$A$5:$A$50,NHAP_LIEU!$D$5:$D$10004,CAU_HINH_CA!$C$5:$C$50)*NHAP_LIEU!$E$5:$E$10004,0))))</f>
        <v/>
      </c>
      <c r="U13" s="50">
        <f>IF(MONTH(($J$2+21-2))&lt;&gt;MONTH($J$2),"",IF(COUNTIF(NHAP_LIEU!$A$5:$A$10004,($J$2+21-2))=0,"",SUMPRODUCT((NHAP_LIEU!$A$5:$A$10004=($J$2+21-2))*ROUND(SUMIF(CAU_HINH_CA!$A$5:$A$50,NHAP_LIEU!$D$5:$D$10004,CAU_HINH_CA!$C$5:$C$50)*NHAP_LIEU!$E$5:$E$10004,0))))</f>
        <v/>
      </c>
      <c r="V13" s="50">
        <f>IF(MONTH(($J$2+22-2))&lt;&gt;MONTH($J$2),"",IF(COUNTIF(NHAP_LIEU!$A$5:$A$10004,($J$2+22-2))=0,"",SUMPRODUCT((NHAP_LIEU!$A$5:$A$10004=($J$2+22-2))*ROUND(SUMIF(CAU_HINH_CA!$A$5:$A$50,NHAP_LIEU!$D$5:$D$10004,CAU_HINH_CA!$C$5:$C$50)*NHAP_LIEU!$E$5:$E$10004,0))))</f>
        <v/>
      </c>
      <c r="W13" s="50">
        <f>IF(MONTH(($J$2+23-2))&lt;&gt;MONTH($J$2),"",IF(COUNTIF(NHAP_LIEU!$A$5:$A$10004,($J$2+23-2))=0,"",SUMPRODUCT((NHAP_LIEU!$A$5:$A$10004=($J$2+23-2))*ROUND(SUMIF(CAU_HINH_CA!$A$5:$A$50,NHAP_LIEU!$D$5:$D$10004,CAU_HINH_CA!$C$5:$C$50)*NHAP_LIEU!$E$5:$E$10004,0))))</f>
        <v/>
      </c>
      <c r="X13" s="50">
        <f>IF(MONTH(($J$2+24-2))&lt;&gt;MONTH($J$2),"",IF(COUNTIF(NHAP_LIEU!$A$5:$A$10004,($J$2+24-2))=0,"",SUMPRODUCT((NHAP_LIEU!$A$5:$A$10004=($J$2+24-2))*ROUND(SUMIF(CAU_HINH_CA!$A$5:$A$50,NHAP_LIEU!$D$5:$D$10004,CAU_HINH_CA!$C$5:$C$50)*NHAP_LIEU!$E$5:$E$10004,0))))</f>
        <v/>
      </c>
      <c r="Y13" s="50">
        <f>IF(MONTH(($J$2+25-2))&lt;&gt;MONTH($J$2),"",IF(COUNTIF(NHAP_LIEU!$A$5:$A$10004,($J$2+25-2))=0,"",SUMPRODUCT((NHAP_LIEU!$A$5:$A$10004=($J$2+25-2))*ROUND(SUMIF(CAU_HINH_CA!$A$5:$A$50,NHAP_LIEU!$D$5:$D$10004,CAU_HINH_CA!$C$5:$C$50)*NHAP_LIEU!$E$5:$E$10004,0))))</f>
        <v/>
      </c>
      <c r="Z13" s="50">
        <f>IF(MONTH(($J$2+26-2))&lt;&gt;MONTH($J$2),"",IF(COUNTIF(NHAP_LIEU!$A$5:$A$10004,($J$2+26-2))=0,"",SUMPRODUCT((NHAP_LIEU!$A$5:$A$10004=($J$2+26-2))*ROUND(SUMIF(CAU_HINH_CA!$A$5:$A$50,NHAP_LIEU!$D$5:$D$10004,CAU_HINH_CA!$C$5:$C$50)*NHAP_LIEU!$E$5:$E$10004,0))))</f>
        <v/>
      </c>
      <c r="AA13" s="50">
        <f>IF(MONTH(($J$2+27-2))&lt;&gt;MONTH($J$2),"",IF(COUNTIF(NHAP_LIEU!$A$5:$A$10004,($J$2+27-2))=0,"",SUMPRODUCT((NHAP_LIEU!$A$5:$A$10004=($J$2+27-2))*ROUND(SUMIF(CAU_HINH_CA!$A$5:$A$50,NHAP_LIEU!$D$5:$D$10004,CAU_HINH_CA!$C$5:$C$50)*NHAP_LIEU!$E$5:$E$10004,0))))</f>
        <v/>
      </c>
      <c r="AB13" s="50">
        <f>IF(MONTH(($J$2+28-2))&lt;&gt;MONTH($J$2),"",IF(COUNTIF(NHAP_LIEU!$A$5:$A$10004,($J$2+28-2))=0,"",SUMPRODUCT((NHAP_LIEU!$A$5:$A$10004=($J$2+28-2))*ROUND(SUMIF(CAU_HINH_CA!$A$5:$A$50,NHAP_LIEU!$D$5:$D$10004,CAU_HINH_CA!$C$5:$C$50)*NHAP_LIEU!$E$5:$E$10004,0))))</f>
        <v/>
      </c>
      <c r="AC13" s="50">
        <f>IF(MONTH(($J$2+29-2))&lt;&gt;MONTH($J$2),"",IF(COUNTIF(NHAP_LIEU!$A$5:$A$10004,($J$2+29-2))=0,"",SUMPRODUCT((NHAP_LIEU!$A$5:$A$10004=($J$2+29-2))*ROUND(SUMIF(CAU_HINH_CA!$A$5:$A$50,NHAP_LIEU!$D$5:$D$10004,CAU_HINH_CA!$C$5:$C$50)*NHAP_LIEU!$E$5:$E$10004,0))))</f>
        <v/>
      </c>
      <c r="AD13" s="50">
        <f>IF(MONTH(($J$2+30-2))&lt;&gt;MONTH($J$2),"",IF(COUNTIF(NHAP_LIEU!$A$5:$A$10004,($J$2+30-2))=0,"",SUMPRODUCT((NHAP_LIEU!$A$5:$A$10004=($J$2+30-2))*ROUND(SUMIF(CAU_HINH_CA!$A$5:$A$50,NHAP_LIEU!$D$5:$D$10004,CAU_HINH_CA!$C$5:$C$50)*NHAP_LIEU!$E$5:$E$10004,0))))</f>
        <v/>
      </c>
      <c r="AE13" s="50">
        <f>IF(MONTH(($J$2+31-2))&lt;&gt;MONTH($J$2),"",IF(COUNTIF(NHAP_LIEU!$A$5:$A$10004,($J$2+31-2))=0,"",SUMPRODUCT((NHAP_LIEU!$A$5:$A$10004=($J$2+31-2))*ROUND(SUMIF(CAU_HINH_CA!$A$5:$A$50,NHAP_LIEU!$D$5:$D$10004,CAU_HINH_CA!$C$5:$C$50)*NHAP_LIEU!$E$5:$E$10004,0))))</f>
        <v/>
      </c>
      <c r="AF13" s="50">
        <f>IF(MONTH(($J$2+32-2))&lt;&gt;MONTH($J$2),"",IF(COUNTIF(NHAP_LIEU!$A$5:$A$10004,($J$2+32-2))=0,"",SUMPRODUCT((NHAP_LIEU!$A$5:$A$10004=($J$2+32-2))*ROUND(SUMIF(CAU_HINH_CA!$A$5:$A$50,NHAP_LIEU!$D$5:$D$10004,CAU_HINH_CA!$C$5:$C$50)*NHAP_LIEU!$E$5:$E$10004,0))))</f>
        <v/>
      </c>
    </row>
    <row r="15">
      <c r="A15" s="44" t="inlineStr">
        <is>
          <t>2. % ĐẠT MỤC TIÊU NGÀY</t>
        </is>
      </c>
    </row>
    <row r="16">
      <c r="A16" s="9" t="inlineStr">
        <is>
          <t>CHUYỀN</t>
        </is>
      </c>
      <c r="B16" s="9">
        <f>IF(MONTH($J$2+1-1)=MONTH($J$2),1,"")</f>
        <v/>
      </c>
      <c r="C16" s="9">
        <f>IF(MONTH($J$2+2-1)=MONTH($J$2),2,"")</f>
        <v/>
      </c>
      <c r="D16" s="9">
        <f>IF(MONTH($J$2+3-1)=MONTH($J$2),3,"")</f>
        <v/>
      </c>
      <c r="E16" s="9">
        <f>IF(MONTH($J$2+4-1)=MONTH($J$2),4,"")</f>
        <v/>
      </c>
      <c r="F16" s="9">
        <f>IF(MONTH($J$2+5-1)=MONTH($J$2),5,"")</f>
        <v/>
      </c>
      <c r="G16" s="9">
        <f>IF(MONTH($J$2+6-1)=MONTH($J$2),6,"")</f>
        <v/>
      </c>
      <c r="H16" s="9">
        <f>IF(MONTH($J$2+7-1)=MONTH($J$2),7,"")</f>
        <v/>
      </c>
      <c r="I16" s="9">
        <f>IF(MONTH($J$2+8-1)=MONTH($J$2),8,"")</f>
        <v/>
      </c>
      <c r="J16" s="9">
        <f>IF(MONTH($J$2+9-1)=MONTH($J$2),9,"")</f>
        <v/>
      </c>
      <c r="K16" s="9">
        <f>IF(MONTH($J$2+10-1)=MONTH($J$2),10,"")</f>
        <v/>
      </c>
      <c r="L16" s="9">
        <f>IF(MONTH($J$2+11-1)=MONTH($J$2),11,"")</f>
        <v/>
      </c>
      <c r="M16" s="9">
        <f>IF(MONTH($J$2+12-1)=MONTH($J$2),12,"")</f>
        <v/>
      </c>
      <c r="N16" s="9">
        <f>IF(MONTH($J$2+13-1)=MONTH($J$2),13,"")</f>
        <v/>
      </c>
      <c r="O16" s="9">
        <f>IF(MONTH($J$2+14-1)=MONTH($J$2),14,"")</f>
        <v/>
      </c>
      <c r="P16" s="9">
        <f>IF(MONTH($J$2+15-1)=MONTH($J$2),15,"")</f>
        <v/>
      </c>
      <c r="Q16" s="9">
        <f>IF(MONTH($J$2+16-1)=MONTH($J$2),16,"")</f>
        <v/>
      </c>
      <c r="R16" s="9">
        <f>IF(MONTH($J$2+17-1)=MONTH($J$2),17,"")</f>
        <v/>
      </c>
      <c r="S16" s="9">
        <f>IF(MONTH($J$2+18-1)=MONTH($J$2),18,"")</f>
        <v/>
      </c>
      <c r="T16" s="9">
        <f>IF(MONTH($J$2+19-1)=MONTH($J$2),19,"")</f>
        <v/>
      </c>
      <c r="U16" s="9">
        <f>IF(MONTH($J$2+20-1)=MONTH($J$2),20,"")</f>
        <v/>
      </c>
      <c r="V16" s="9">
        <f>IF(MONTH($J$2+21-1)=MONTH($J$2),21,"")</f>
        <v/>
      </c>
      <c r="W16" s="9">
        <f>IF(MONTH($J$2+22-1)=MONTH($J$2),22,"")</f>
        <v/>
      </c>
      <c r="X16" s="9">
        <f>IF(MONTH($J$2+23-1)=MONTH($J$2),23,"")</f>
        <v/>
      </c>
      <c r="Y16" s="9">
        <f>IF(MONTH($J$2+24-1)=MONTH($J$2),24,"")</f>
        <v/>
      </c>
      <c r="Z16" s="9">
        <f>IF(MONTH($J$2+25-1)=MONTH($J$2),25,"")</f>
        <v/>
      </c>
      <c r="AA16" s="9">
        <f>IF(MONTH($J$2+26-1)=MONTH($J$2),26,"")</f>
        <v/>
      </c>
      <c r="AB16" s="9">
        <f>IF(MONTH($J$2+27-1)=MONTH($J$2),27,"")</f>
        <v/>
      </c>
      <c r="AC16" s="9">
        <f>IF(MONTH($J$2+28-1)=MONTH($J$2),28,"")</f>
        <v/>
      </c>
      <c r="AD16" s="9">
        <f>IF(MONTH($J$2+29-1)=MONTH($J$2),29,"")</f>
        <v/>
      </c>
      <c r="AE16" s="9">
        <f>IF(MONTH($J$2+30-1)=MONTH($J$2),30,"")</f>
        <v/>
      </c>
      <c r="AF16" s="9">
        <f>IF(MONTH($J$2+31-1)=MONTH($J$2),31,"")</f>
        <v/>
      </c>
    </row>
    <row r="17">
      <c r="A17" s="47">
        <f>A6</f>
        <v/>
      </c>
      <c r="B17" s="51">
        <f>IF(B6="","",IFERROR(B6/ROUND(INDEX(CAU_HINH_CA!$C$5:$C$50,MATCH(INDEX(NHAP_LIEU!$D$5:$D$10004,MATCH(1,INDEX((NHAP_LIEU!$A$5:$A$10004=($J$2+2-2))*(NHAP_LIEU!$B$5:$B$10004=$A17),0),0)),CAU_HINH_CA!$A$5:$A$50,0))*INDEX(NHAP_LIEU!$E$5:$E$10004,MATCH(1,INDEX((NHAP_LIEU!$A$5:$A$10004=($J$2+2-2))*(NHAP_LIEU!$B$5:$B$10004=$A17),0),0)),0),""))</f>
        <v/>
      </c>
      <c r="C17" s="51">
        <f>IF(C6="","",IFERROR(C6/ROUND(INDEX(CAU_HINH_CA!$C$5:$C$50,MATCH(INDEX(NHAP_LIEU!$D$5:$D$10004,MATCH(1,INDEX((NHAP_LIEU!$A$5:$A$10004=($J$2+3-2))*(NHAP_LIEU!$B$5:$B$10004=$A17),0),0)),CAU_HINH_CA!$A$5:$A$50,0))*INDEX(NHAP_LIEU!$E$5:$E$10004,MATCH(1,INDEX((NHAP_LIEU!$A$5:$A$10004=($J$2+3-2))*(NHAP_LIEU!$B$5:$B$10004=$A17),0),0)),0),""))</f>
        <v/>
      </c>
      <c r="D17" s="51">
        <f>IF(D6="","",IFERROR(D6/ROUND(INDEX(CAU_HINH_CA!$C$5:$C$50,MATCH(INDEX(NHAP_LIEU!$D$5:$D$10004,MATCH(1,INDEX((NHAP_LIEU!$A$5:$A$10004=($J$2+4-2))*(NHAP_LIEU!$B$5:$B$10004=$A17),0),0)),CAU_HINH_CA!$A$5:$A$50,0))*INDEX(NHAP_LIEU!$E$5:$E$10004,MATCH(1,INDEX((NHAP_LIEU!$A$5:$A$10004=($J$2+4-2))*(NHAP_LIEU!$B$5:$B$10004=$A17),0),0)),0),""))</f>
        <v/>
      </c>
      <c r="E17" s="51">
        <f>IF(E6="","",IFERROR(E6/ROUND(INDEX(CAU_HINH_CA!$C$5:$C$50,MATCH(INDEX(NHAP_LIEU!$D$5:$D$10004,MATCH(1,INDEX((NHAP_LIEU!$A$5:$A$10004=($J$2+5-2))*(NHAP_LIEU!$B$5:$B$10004=$A17),0),0)),CAU_HINH_CA!$A$5:$A$50,0))*INDEX(NHAP_LIEU!$E$5:$E$10004,MATCH(1,INDEX((NHAP_LIEU!$A$5:$A$10004=($J$2+5-2))*(NHAP_LIEU!$B$5:$B$10004=$A17),0),0)),0),""))</f>
        <v/>
      </c>
      <c r="F17" s="51">
        <f>IF(F6="","",IFERROR(F6/ROUND(INDEX(CAU_HINH_CA!$C$5:$C$50,MATCH(INDEX(NHAP_LIEU!$D$5:$D$10004,MATCH(1,INDEX((NHAP_LIEU!$A$5:$A$10004=($J$2+6-2))*(NHAP_LIEU!$B$5:$B$10004=$A17),0),0)),CAU_HINH_CA!$A$5:$A$50,0))*INDEX(NHAP_LIEU!$E$5:$E$10004,MATCH(1,INDEX((NHAP_LIEU!$A$5:$A$10004=($J$2+6-2))*(NHAP_LIEU!$B$5:$B$10004=$A17),0),0)),0),""))</f>
        <v/>
      </c>
      <c r="G17" s="51">
        <f>IF(G6="","",IFERROR(G6/ROUND(INDEX(CAU_HINH_CA!$C$5:$C$50,MATCH(INDEX(NHAP_LIEU!$D$5:$D$10004,MATCH(1,INDEX((NHAP_LIEU!$A$5:$A$10004=($J$2+7-2))*(NHAP_LIEU!$B$5:$B$10004=$A17),0),0)),CAU_HINH_CA!$A$5:$A$50,0))*INDEX(NHAP_LIEU!$E$5:$E$10004,MATCH(1,INDEX((NHAP_LIEU!$A$5:$A$10004=($J$2+7-2))*(NHAP_LIEU!$B$5:$B$10004=$A17),0),0)),0),""))</f>
        <v/>
      </c>
      <c r="H17" s="51">
        <f>IF(H6="","",IFERROR(H6/ROUND(INDEX(CAU_HINH_CA!$C$5:$C$50,MATCH(INDEX(NHAP_LIEU!$D$5:$D$10004,MATCH(1,INDEX((NHAP_LIEU!$A$5:$A$10004=($J$2+8-2))*(NHAP_LIEU!$B$5:$B$10004=$A17),0),0)),CAU_HINH_CA!$A$5:$A$50,0))*INDEX(NHAP_LIEU!$E$5:$E$10004,MATCH(1,INDEX((NHAP_LIEU!$A$5:$A$10004=($J$2+8-2))*(NHAP_LIEU!$B$5:$B$10004=$A17),0),0)),0),""))</f>
        <v/>
      </c>
      <c r="I17" s="51">
        <f>IF(I6="","",IFERROR(I6/ROUND(INDEX(CAU_HINH_CA!$C$5:$C$50,MATCH(INDEX(NHAP_LIEU!$D$5:$D$10004,MATCH(1,INDEX((NHAP_LIEU!$A$5:$A$10004=($J$2+9-2))*(NHAP_LIEU!$B$5:$B$10004=$A17),0),0)),CAU_HINH_CA!$A$5:$A$50,0))*INDEX(NHAP_LIEU!$E$5:$E$10004,MATCH(1,INDEX((NHAP_LIEU!$A$5:$A$10004=($J$2+9-2))*(NHAP_LIEU!$B$5:$B$10004=$A17),0),0)),0),""))</f>
        <v/>
      </c>
      <c r="J17" s="51">
        <f>IF(J6="","",IFERROR(J6/ROUND(INDEX(CAU_HINH_CA!$C$5:$C$50,MATCH(INDEX(NHAP_LIEU!$D$5:$D$10004,MATCH(1,INDEX((NHAP_LIEU!$A$5:$A$10004=($J$2+10-2))*(NHAP_LIEU!$B$5:$B$10004=$A17),0),0)),CAU_HINH_CA!$A$5:$A$50,0))*INDEX(NHAP_LIEU!$E$5:$E$10004,MATCH(1,INDEX((NHAP_LIEU!$A$5:$A$10004=($J$2+10-2))*(NHAP_LIEU!$B$5:$B$10004=$A17),0),0)),0),""))</f>
        <v/>
      </c>
      <c r="K17" s="51">
        <f>IF(K6="","",IFERROR(K6/ROUND(INDEX(CAU_HINH_CA!$C$5:$C$50,MATCH(INDEX(NHAP_LIEU!$D$5:$D$10004,MATCH(1,INDEX((NHAP_LIEU!$A$5:$A$10004=($J$2+11-2))*(NHAP_LIEU!$B$5:$B$10004=$A17),0),0)),CAU_HINH_CA!$A$5:$A$50,0))*INDEX(NHAP_LIEU!$E$5:$E$10004,MATCH(1,INDEX((NHAP_LIEU!$A$5:$A$10004=($J$2+11-2))*(NHAP_LIEU!$B$5:$B$10004=$A17),0),0)),0),""))</f>
        <v/>
      </c>
      <c r="L17" s="51">
        <f>IF(L6="","",IFERROR(L6/ROUND(INDEX(CAU_HINH_CA!$C$5:$C$50,MATCH(INDEX(NHAP_LIEU!$D$5:$D$10004,MATCH(1,INDEX((NHAP_LIEU!$A$5:$A$10004=($J$2+12-2))*(NHAP_LIEU!$B$5:$B$10004=$A17),0),0)),CAU_HINH_CA!$A$5:$A$50,0))*INDEX(NHAP_LIEU!$E$5:$E$10004,MATCH(1,INDEX((NHAP_LIEU!$A$5:$A$10004=($J$2+12-2))*(NHAP_LIEU!$B$5:$B$10004=$A17),0),0)),0),""))</f>
        <v/>
      </c>
      <c r="M17" s="51">
        <f>IF(M6="","",IFERROR(M6/ROUND(INDEX(CAU_HINH_CA!$C$5:$C$50,MATCH(INDEX(NHAP_LIEU!$D$5:$D$10004,MATCH(1,INDEX((NHAP_LIEU!$A$5:$A$10004=($J$2+13-2))*(NHAP_LIEU!$B$5:$B$10004=$A17),0),0)),CAU_HINH_CA!$A$5:$A$50,0))*INDEX(NHAP_LIEU!$E$5:$E$10004,MATCH(1,INDEX((NHAP_LIEU!$A$5:$A$10004=($J$2+13-2))*(NHAP_LIEU!$B$5:$B$10004=$A17),0),0)),0),""))</f>
        <v/>
      </c>
      <c r="N17" s="51">
        <f>IF(N6="","",IFERROR(N6/ROUND(INDEX(CAU_HINH_CA!$C$5:$C$50,MATCH(INDEX(NHAP_LIEU!$D$5:$D$10004,MATCH(1,INDEX((NHAP_LIEU!$A$5:$A$10004=($J$2+14-2))*(NHAP_LIEU!$B$5:$B$10004=$A17),0),0)),CAU_HINH_CA!$A$5:$A$50,0))*INDEX(NHAP_LIEU!$E$5:$E$10004,MATCH(1,INDEX((NHAP_LIEU!$A$5:$A$10004=($J$2+14-2))*(NHAP_LIEU!$B$5:$B$10004=$A17),0),0)),0),""))</f>
        <v/>
      </c>
      <c r="O17" s="51">
        <f>IF(O6="","",IFERROR(O6/ROUND(INDEX(CAU_HINH_CA!$C$5:$C$50,MATCH(INDEX(NHAP_LIEU!$D$5:$D$10004,MATCH(1,INDEX((NHAP_LIEU!$A$5:$A$10004=($J$2+15-2))*(NHAP_LIEU!$B$5:$B$10004=$A17),0),0)),CAU_HINH_CA!$A$5:$A$50,0))*INDEX(NHAP_LIEU!$E$5:$E$10004,MATCH(1,INDEX((NHAP_LIEU!$A$5:$A$10004=($J$2+15-2))*(NHAP_LIEU!$B$5:$B$10004=$A17),0),0)),0),""))</f>
        <v/>
      </c>
      <c r="P17" s="51">
        <f>IF(P6="","",IFERROR(P6/ROUND(INDEX(CAU_HINH_CA!$C$5:$C$50,MATCH(INDEX(NHAP_LIEU!$D$5:$D$10004,MATCH(1,INDEX((NHAP_LIEU!$A$5:$A$10004=($J$2+16-2))*(NHAP_LIEU!$B$5:$B$10004=$A17),0),0)),CAU_HINH_CA!$A$5:$A$50,0))*INDEX(NHAP_LIEU!$E$5:$E$10004,MATCH(1,INDEX((NHAP_LIEU!$A$5:$A$10004=($J$2+16-2))*(NHAP_LIEU!$B$5:$B$10004=$A17),0),0)),0),""))</f>
        <v/>
      </c>
      <c r="Q17" s="51">
        <f>IF(Q6="","",IFERROR(Q6/ROUND(INDEX(CAU_HINH_CA!$C$5:$C$50,MATCH(INDEX(NHAP_LIEU!$D$5:$D$10004,MATCH(1,INDEX((NHAP_LIEU!$A$5:$A$10004=($J$2+17-2))*(NHAP_LIEU!$B$5:$B$10004=$A17),0),0)),CAU_HINH_CA!$A$5:$A$50,0))*INDEX(NHAP_LIEU!$E$5:$E$10004,MATCH(1,INDEX((NHAP_LIEU!$A$5:$A$10004=($J$2+17-2))*(NHAP_LIEU!$B$5:$B$10004=$A17),0),0)),0),""))</f>
        <v/>
      </c>
      <c r="R17" s="51">
        <f>IF(R6="","",IFERROR(R6/ROUND(INDEX(CAU_HINH_CA!$C$5:$C$50,MATCH(INDEX(NHAP_LIEU!$D$5:$D$10004,MATCH(1,INDEX((NHAP_LIEU!$A$5:$A$10004=($J$2+18-2))*(NHAP_LIEU!$B$5:$B$10004=$A17),0),0)),CAU_HINH_CA!$A$5:$A$50,0))*INDEX(NHAP_LIEU!$E$5:$E$10004,MATCH(1,INDEX((NHAP_LIEU!$A$5:$A$10004=($J$2+18-2))*(NHAP_LIEU!$B$5:$B$10004=$A17),0),0)),0),""))</f>
        <v/>
      </c>
      <c r="S17" s="51">
        <f>IF(S6="","",IFERROR(S6/ROUND(INDEX(CAU_HINH_CA!$C$5:$C$50,MATCH(INDEX(NHAP_LIEU!$D$5:$D$10004,MATCH(1,INDEX((NHAP_LIEU!$A$5:$A$10004=($J$2+19-2))*(NHAP_LIEU!$B$5:$B$10004=$A17),0),0)),CAU_HINH_CA!$A$5:$A$50,0))*INDEX(NHAP_LIEU!$E$5:$E$10004,MATCH(1,INDEX((NHAP_LIEU!$A$5:$A$10004=($J$2+19-2))*(NHAP_LIEU!$B$5:$B$10004=$A17),0),0)),0),""))</f>
        <v/>
      </c>
      <c r="T17" s="51">
        <f>IF(T6="","",IFERROR(T6/ROUND(INDEX(CAU_HINH_CA!$C$5:$C$50,MATCH(INDEX(NHAP_LIEU!$D$5:$D$10004,MATCH(1,INDEX((NHAP_LIEU!$A$5:$A$10004=($J$2+20-2))*(NHAP_LIEU!$B$5:$B$10004=$A17),0),0)),CAU_HINH_CA!$A$5:$A$50,0))*INDEX(NHAP_LIEU!$E$5:$E$10004,MATCH(1,INDEX((NHAP_LIEU!$A$5:$A$10004=($J$2+20-2))*(NHAP_LIEU!$B$5:$B$10004=$A17),0),0)),0),""))</f>
        <v/>
      </c>
      <c r="U17" s="51">
        <f>IF(U6="","",IFERROR(U6/ROUND(INDEX(CAU_HINH_CA!$C$5:$C$50,MATCH(INDEX(NHAP_LIEU!$D$5:$D$10004,MATCH(1,INDEX((NHAP_LIEU!$A$5:$A$10004=($J$2+21-2))*(NHAP_LIEU!$B$5:$B$10004=$A17),0),0)),CAU_HINH_CA!$A$5:$A$50,0))*INDEX(NHAP_LIEU!$E$5:$E$10004,MATCH(1,INDEX((NHAP_LIEU!$A$5:$A$10004=($J$2+21-2))*(NHAP_LIEU!$B$5:$B$10004=$A17),0),0)),0),""))</f>
        <v/>
      </c>
      <c r="V17" s="51">
        <f>IF(V6="","",IFERROR(V6/ROUND(INDEX(CAU_HINH_CA!$C$5:$C$50,MATCH(INDEX(NHAP_LIEU!$D$5:$D$10004,MATCH(1,INDEX((NHAP_LIEU!$A$5:$A$10004=($J$2+22-2))*(NHAP_LIEU!$B$5:$B$10004=$A17),0),0)),CAU_HINH_CA!$A$5:$A$50,0))*INDEX(NHAP_LIEU!$E$5:$E$10004,MATCH(1,INDEX((NHAP_LIEU!$A$5:$A$10004=($J$2+22-2))*(NHAP_LIEU!$B$5:$B$10004=$A17),0),0)),0),""))</f>
        <v/>
      </c>
      <c r="W17" s="51">
        <f>IF(W6="","",IFERROR(W6/ROUND(INDEX(CAU_HINH_CA!$C$5:$C$50,MATCH(INDEX(NHAP_LIEU!$D$5:$D$10004,MATCH(1,INDEX((NHAP_LIEU!$A$5:$A$10004=($J$2+23-2))*(NHAP_LIEU!$B$5:$B$10004=$A17),0),0)),CAU_HINH_CA!$A$5:$A$50,0))*INDEX(NHAP_LIEU!$E$5:$E$10004,MATCH(1,INDEX((NHAP_LIEU!$A$5:$A$10004=($J$2+23-2))*(NHAP_LIEU!$B$5:$B$10004=$A17),0),0)),0),""))</f>
        <v/>
      </c>
      <c r="X17" s="51">
        <f>IF(X6="","",IFERROR(X6/ROUND(INDEX(CAU_HINH_CA!$C$5:$C$50,MATCH(INDEX(NHAP_LIEU!$D$5:$D$10004,MATCH(1,INDEX((NHAP_LIEU!$A$5:$A$10004=($J$2+24-2))*(NHAP_LIEU!$B$5:$B$10004=$A17),0),0)),CAU_HINH_CA!$A$5:$A$50,0))*INDEX(NHAP_LIEU!$E$5:$E$10004,MATCH(1,INDEX((NHAP_LIEU!$A$5:$A$10004=($J$2+24-2))*(NHAP_LIEU!$B$5:$B$10004=$A17),0),0)),0),""))</f>
        <v/>
      </c>
      <c r="Y17" s="51">
        <f>IF(Y6="","",IFERROR(Y6/ROUND(INDEX(CAU_HINH_CA!$C$5:$C$50,MATCH(INDEX(NHAP_LIEU!$D$5:$D$10004,MATCH(1,INDEX((NHAP_LIEU!$A$5:$A$10004=($J$2+25-2))*(NHAP_LIEU!$B$5:$B$10004=$A17),0),0)),CAU_HINH_CA!$A$5:$A$50,0))*INDEX(NHAP_LIEU!$E$5:$E$10004,MATCH(1,INDEX((NHAP_LIEU!$A$5:$A$10004=($J$2+25-2))*(NHAP_LIEU!$B$5:$B$10004=$A17),0),0)),0),""))</f>
        <v/>
      </c>
      <c r="Z17" s="51">
        <f>IF(Z6="","",IFERROR(Z6/ROUND(INDEX(CAU_HINH_CA!$C$5:$C$50,MATCH(INDEX(NHAP_LIEU!$D$5:$D$10004,MATCH(1,INDEX((NHAP_LIEU!$A$5:$A$10004=($J$2+26-2))*(NHAP_LIEU!$B$5:$B$10004=$A17),0),0)),CAU_HINH_CA!$A$5:$A$50,0))*INDEX(NHAP_LIEU!$E$5:$E$10004,MATCH(1,INDEX((NHAP_LIEU!$A$5:$A$10004=($J$2+26-2))*(NHAP_LIEU!$B$5:$B$10004=$A17),0),0)),0),""))</f>
        <v/>
      </c>
      <c r="AA17" s="51">
        <f>IF(AA6="","",IFERROR(AA6/ROUND(INDEX(CAU_HINH_CA!$C$5:$C$50,MATCH(INDEX(NHAP_LIEU!$D$5:$D$10004,MATCH(1,INDEX((NHAP_LIEU!$A$5:$A$10004=($J$2+27-2))*(NHAP_LIEU!$B$5:$B$10004=$A17),0),0)),CAU_HINH_CA!$A$5:$A$50,0))*INDEX(NHAP_LIEU!$E$5:$E$10004,MATCH(1,INDEX((NHAP_LIEU!$A$5:$A$10004=($J$2+27-2))*(NHAP_LIEU!$B$5:$B$10004=$A17),0),0)),0),""))</f>
        <v/>
      </c>
      <c r="AB17" s="51">
        <f>IF(AB6="","",IFERROR(AB6/ROUND(INDEX(CAU_HINH_CA!$C$5:$C$50,MATCH(INDEX(NHAP_LIEU!$D$5:$D$10004,MATCH(1,INDEX((NHAP_LIEU!$A$5:$A$10004=($J$2+28-2))*(NHAP_LIEU!$B$5:$B$10004=$A17),0),0)),CAU_HINH_CA!$A$5:$A$50,0))*INDEX(NHAP_LIEU!$E$5:$E$10004,MATCH(1,INDEX((NHAP_LIEU!$A$5:$A$10004=($J$2+28-2))*(NHAP_LIEU!$B$5:$B$10004=$A17),0),0)),0),""))</f>
        <v/>
      </c>
      <c r="AC17" s="51">
        <f>IF(AC6="","",IFERROR(AC6/ROUND(INDEX(CAU_HINH_CA!$C$5:$C$50,MATCH(INDEX(NHAP_LIEU!$D$5:$D$10004,MATCH(1,INDEX((NHAP_LIEU!$A$5:$A$10004=($J$2+29-2))*(NHAP_LIEU!$B$5:$B$10004=$A17),0),0)),CAU_HINH_CA!$A$5:$A$50,0))*INDEX(NHAP_LIEU!$E$5:$E$10004,MATCH(1,INDEX((NHAP_LIEU!$A$5:$A$10004=($J$2+29-2))*(NHAP_LIEU!$B$5:$B$10004=$A17),0),0)),0),""))</f>
        <v/>
      </c>
      <c r="AD17" s="51">
        <f>IF(AD6="","",IFERROR(AD6/ROUND(INDEX(CAU_HINH_CA!$C$5:$C$50,MATCH(INDEX(NHAP_LIEU!$D$5:$D$10004,MATCH(1,INDEX((NHAP_LIEU!$A$5:$A$10004=($J$2+30-2))*(NHAP_LIEU!$B$5:$B$10004=$A17),0),0)),CAU_HINH_CA!$A$5:$A$50,0))*INDEX(NHAP_LIEU!$E$5:$E$10004,MATCH(1,INDEX((NHAP_LIEU!$A$5:$A$10004=($J$2+30-2))*(NHAP_LIEU!$B$5:$B$10004=$A17),0),0)),0),""))</f>
        <v/>
      </c>
      <c r="AE17" s="51">
        <f>IF(AE6="","",IFERROR(AE6/ROUND(INDEX(CAU_HINH_CA!$C$5:$C$50,MATCH(INDEX(NHAP_LIEU!$D$5:$D$10004,MATCH(1,INDEX((NHAP_LIEU!$A$5:$A$10004=($J$2+31-2))*(NHAP_LIEU!$B$5:$B$10004=$A17),0),0)),CAU_HINH_CA!$A$5:$A$50,0))*INDEX(NHAP_LIEU!$E$5:$E$10004,MATCH(1,INDEX((NHAP_LIEU!$A$5:$A$10004=($J$2+31-2))*(NHAP_LIEU!$B$5:$B$10004=$A17),0),0)),0),""))</f>
        <v/>
      </c>
      <c r="AF17" s="51">
        <f>IF(AF6="","",IFERROR(AF6/ROUND(INDEX(CAU_HINH_CA!$C$5:$C$50,MATCH(INDEX(NHAP_LIEU!$D$5:$D$10004,MATCH(1,INDEX((NHAP_LIEU!$A$5:$A$10004=($J$2+32-2))*(NHAP_LIEU!$B$5:$B$10004=$A17),0),0)),CAU_HINH_CA!$A$5:$A$50,0))*INDEX(NHAP_LIEU!$E$5:$E$10004,MATCH(1,INDEX((NHAP_LIEU!$A$5:$A$10004=($J$2+32-2))*(NHAP_LIEU!$B$5:$B$10004=$A17),0),0)),0),""))</f>
        <v/>
      </c>
    </row>
    <row r="18">
      <c r="A18" s="47">
        <f>A7</f>
        <v/>
      </c>
      <c r="B18" s="51">
        <f>IF(B7="","",IFERROR(B7/ROUND(INDEX(CAU_HINH_CA!$C$5:$C$50,MATCH(INDEX(NHAP_LIEU!$D$5:$D$10004,MATCH(1,INDEX((NHAP_LIEU!$A$5:$A$10004=($J$2+2-2))*(NHAP_LIEU!$B$5:$B$10004=$A18),0),0)),CAU_HINH_CA!$A$5:$A$50,0))*INDEX(NHAP_LIEU!$E$5:$E$10004,MATCH(1,INDEX((NHAP_LIEU!$A$5:$A$10004=($J$2+2-2))*(NHAP_LIEU!$B$5:$B$10004=$A18),0),0)),0),""))</f>
        <v/>
      </c>
      <c r="C18" s="51">
        <f>IF(C7="","",IFERROR(C7/ROUND(INDEX(CAU_HINH_CA!$C$5:$C$50,MATCH(INDEX(NHAP_LIEU!$D$5:$D$10004,MATCH(1,INDEX((NHAP_LIEU!$A$5:$A$10004=($J$2+3-2))*(NHAP_LIEU!$B$5:$B$10004=$A18),0),0)),CAU_HINH_CA!$A$5:$A$50,0))*INDEX(NHAP_LIEU!$E$5:$E$10004,MATCH(1,INDEX((NHAP_LIEU!$A$5:$A$10004=($J$2+3-2))*(NHAP_LIEU!$B$5:$B$10004=$A18),0),0)),0),""))</f>
        <v/>
      </c>
      <c r="D18" s="51">
        <f>IF(D7="","",IFERROR(D7/ROUND(INDEX(CAU_HINH_CA!$C$5:$C$50,MATCH(INDEX(NHAP_LIEU!$D$5:$D$10004,MATCH(1,INDEX((NHAP_LIEU!$A$5:$A$10004=($J$2+4-2))*(NHAP_LIEU!$B$5:$B$10004=$A18),0),0)),CAU_HINH_CA!$A$5:$A$50,0))*INDEX(NHAP_LIEU!$E$5:$E$10004,MATCH(1,INDEX((NHAP_LIEU!$A$5:$A$10004=($J$2+4-2))*(NHAP_LIEU!$B$5:$B$10004=$A18),0),0)),0),""))</f>
        <v/>
      </c>
      <c r="E18" s="51">
        <f>IF(E7="","",IFERROR(E7/ROUND(INDEX(CAU_HINH_CA!$C$5:$C$50,MATCH(INDEX(NHAP_LIEU!$D$5:$D$10004,MATCH(1,INDEX((NHAP_LIEU!$A$5:$A$10004=($J$2+5-2))*(NHAP_LIEU!$B$5:$B$10004=$A18),0),0)),CAU_HINH_CA!$A$5:$A$50,0))*INDEX(NHAP_LIEU!$E$5:$E$10004,MATCH(1,INDEX((NHAP_LIEU!$A$5:$A$10004=($J$2+5-2))*(NHAP_LIEU!$B$5:$B$10004=$A18),0),0)),0),""))</f>
        <v/>
      </c>
      <c r="F18" s="51">
        <f>IF(F7="","",IFERROR(F7/ROUND(INDEX(CAU_HINH_CA!$C$5:$C$50,MATCH(INDEX(NHAP_LIEU!$D$5:$D$10004,MATCH(1,INDEX((NHAP_LIEU!$A$5:$A$10004=($J$2+6-2))*(NHAP_LIEU!$B$5:$B$10004=$A18),0),0)),CAU_HINH_CA!$A$5:$A$50,0))*INDEX(NHAP_LIEU!$E$5:$E$10004,MATCH(1,INDEX((NHAP_LIEU!$A$5:$A$10004=($J$2+6-2))*(NHAP_LIEU!$B$5:$B$10004=$A18),0),0)),0),""))</f>
        <v/>
      </c>
      <c r="G18" s="51">
        <f>IF(G7="","",IFERROR(G7/ROUND(INDEX(CAU_HINH_CA!$C$5:$C$50,MATCH(INDEX(NHAP_LIEU!$D$5:$D$10004,MATCH(1,INDEX((NHAP_LIEU!$A$5:$A$10004=($J$2+7-2))*(NHAP_LIEU!$B$5:$B$10004=$A18),0),0)),CAU_HINH_CA!$A$5:$A$50,0))*INDEX(NHAP_LIEU!$E$5:$E$10004,MATCH(1,INDEX((NHAP_LIEU!$A$5:$A$10004=($J$2+7-2))*(NHAP_LIEU!$B$5:$B$10004=$A18),0),0)),0),""))</f>
        <v/>
      </c>
      <c r="H18" s="51">
        <f>IF(H7="","",IFERROR(H7/ROUND(INDEX(CAU_HINH_CA!$C$5:$C$50,MATCH(INDEX(NHAP_LIEU!$D$5:$D$10004,MATCH(1,INDEX((NHAP_LIEU!$A$5:$A$10004=($J$2+8-2))*(NHAP_LIEU!$B$5:$B$10004=$A18),0),0)),CAU_HINH_CA!$A$5:$A$50,0))*INDEX(NHAP_LIEU!$E$5:$E$10004,MATCH(1,INDEX((NHAP_LIEU!$A$5:$A$10004=($J$2+8-2))*(NHAP_LIEU!$B$5:$B$10004=$A18),0),0)),0),""))</f>
        <v/>
      </c>
      <c r="I18" s="51">
        <f>IF(I7="","",IFERROR(I7/ROUND(INDEX(CAU_HINH_CA!$C$5:$C$50,MATCH(INDEX(NHAP_LIEU!$D$5:$D$10004,MATCH(1,INDEX((NHAP_LIEU!$A$5:$A$10004=($J$2+9-2))*(NHAP_LIEU!$B$5:$B$10004=$A18),0),0)),CAU_HINH_CA!$A$5:$A$50,0))*INDEX(NHAP_LIEU!$E$5:$E$10004,MATCH(1,INDEX((NHAP_LIEU!$A$5:$A$10004=($J$2+9-2))*(NHAP_LIEU!$B$5:$B$10004=$A18),0),0)),0),""))</f>
        <v/>
      </c>
      <c r="J18" s="51">
        <f>IF(J7="","",IFERROR(J7/ROUND(INDEX(CAU_HINH_CA!$C$5:$C$50,MATCH(INDEX(NHAP_LIEU!$D$5:$D$10004,MATCH(1,INDEX((NHAP_LIEU!$A$5:$A$10004=($J$2+10-2))*(NHAP_LIEU!$B$5:$B$10004=$A18),0),0)),CAU_HINH_CA!$A$5:$A$50,0))*INDEX(NHAP_LIEU!$E$5:$E$10004,MATCH(1,INDEX((NHAP_LIEU!$A$5:$A$10004=($J$2+10-2))*(NHAP_LIEU!$B$5:$B$10004=$A18),0),0)),0),""))</f>
        <v/>
      </c>
      <c r="K18" s="51">
        <f>IF(K7="","",IFERROR(K7/ROUND(INDEX(CAU_HINH_CA!$C$5:$C$50,MATCH(INDEX(NHAP_LIEU!$D$5:$D$10004,MATCH(1,INDEX((NHAP_LIEU!$A$5:$A$10004=($J$2+11-2))*(NHAP_LIEU!$B$5:$B$10004=$A18),0),0)),CAU_HINH_CA!$A$5:$A$50,0))*INDEX(NHAP_LIEU!$E$5:$E$10004,MATCH(1,INDEX((NHAP_LIEU!$A$5:$A$10004=($J$2+11-2))*(NHAP_LIEU!$B$5:$B$10004=$A18),0),0)),0),""))</f>
        <v/>
      </c>
      <c r="L18" s="51">
        <f>IF(L7="","",IFERROR(L7/ROUND(INDEX(CAU_HINH_CA!$C$5:$C$50,MATCH(INDEX(NHAP_LIEU!$D$5:$D$10004,MATCH(1,INDEX((NHAP_LIEU!$A$5:$A$10004=($J$2+12-2))*(NHAP_LIEU!$B$5:$B$10004=$A18),0),0)),CAU_HINH_CA!$A$5:$A$50,0))*INDEX(NHAP_LIEU!$E$5:$E$10004,MATCH(1,INDEX((NHAP_LIEU!$A$5:$A$10004=($J$2+12-2))*(NHAP_LIEU!$B$5:$B$10004=$A18),0),0)),0),""))</f>
        <v/>
      </c>
      <c r="M18" s="51">
        <f>IF(M7="","",IFERROR(M7/ROUND(INDEX(CAU_HINH_CA!$C$5:$C$50,MATCH(INDEX(NHAP_LIEU!$D$5:$D$10004,MATCH(1,INDEX((NHAP_LIEU!$A$5:$A$10004=($J$2+13-2))*(NHAP_LIEU!$B$5:$B$10004=$A18),0),0)),CAU_HINH_CA!$A$5:$A$50,0))*INDEX(NHAP_LIEU!$E$5:$E$10004,MATCH(1,INDEX((NHAP_LIEU!$A$5:$A$10004=($J$2+13-2))*(NHAP_LIEU!$B$5:$B$10004=$A18),0),0)),0),""))</f>
        <v/>
      </c>
      <c r="N18" s="51">
        <f>IF(N7="","",IFERROR(N7/ROUND(INDEX(CAU_HINH_CA!$C$5:$C$50,MATCH(INDEX(NHAP_LIEU!$D$5:$D$10004,MATCH(1,INDEX((NHAP_LIEU!$A$5:$A$10004=($J$2+14-2))*(NHAP_LIEU!$B$5:$B$10004=$A18),0),0)),CAU_HINH_CA!$A$5:$A$50,0))*INDEX(NHAP_LIEU!$E$5:$E$10004,MATCH(1,INDEX((NHAP_LIEU!$A$5:$A$10004=($J$2+14-2))*(NHAP_LIEU!$B$5:$B$10004=$A18),0),0)),0),""))</f>
        <v/>
      </c>
      <c r="O18" s="51">
        <f>IF(O7="","",IFERROR(O7/ROUND(INDEX(CAU_HINH_CA!$C$5:$C$50,MATCH(INDEX(NHAP_LIEU!$D$5:$D$10004,MATCH(1,INDEX((NHAP_LIEU!$A$5:$A$10004=($J$2+15-2))*(NHAP_LIEU!$B$5:$B$10004=$A18),0),0)),CAU_HINH_CA!$A$5:$A$50,0))*INDEX(NHAP_LIEU!$E$5:$E$10004,MATCH(1,INDEX((NHAP_LIEU!$A$5:$A$10004=($J$2+15-2))*(NHAP_LIEU!$B$5:$B$10004=$A18),0),0)),0),""))</f>
        <v/>
      </c>
      <c r="P18" s="51">
        <f>IF(P7="","",IFERROR(P7/ROUND(INDEX(CAU_HINH_CA!$C$5:$C$50,MATCH(INDEX(NHAP_LIEU!$D$5:$D$10004,MATCH(1,INDEX((NHAP_LIEU!$A$5:$A$10004=($J$2+16-2))*(NHAP_LIEU!$B$5:$B$10004=$A18),0),0)),CAU_HINH_CA!$A$5:$A$50,0))*INDEX(NHAP_LIEU!$E$5:$E$10004,MATCH(1,INDEX((NHAP_LIEU!$A$5:$A$10004=($J$2+16-2))*(NHAP_LIEU!$B$5:$B$10004=$A18),0),0)),0),""))</f>
        <v/>
      </c>
      <c r="Q18" s="51">
        <f>IF(Q7="","",IFERROR(Q7/ROUND(INDEX(CAU_HINH_CA!$C$5:$C$50,MATCH(INDEX(NHAP_LIEU!$D$5:$D$10004,MATCH(1,INDEX((NHAP_LIEU!$A$5:$A$10004=($J$2+17-2))*(NHAP_LIEU!$B$5:$B$10004=$A18),0),0)),CAU_HINH_CA!$A$5:$A$50,0))*INDEX(NHAP_LIEU!$E$5:$E$10004,MATCH(1,INDEX((NHAP_LIEU!$A$5:$A$10004=($J$2+17-2))*(NHAP_LIEU!$B$5:$B$10004=$A18),0),0)),0),""))</f>
        <v/>
      </c>
      <c r="R18" s="51">
        <f>IF(R7="","",IFERROR(R7/ROUND(INDEX(CAU_HINH_CA!$C$5:$C$50,MATCH(INDEX(NHAP_LIEU!$D$5:$D$10004,MATCH(1,INDEX((NHAP_LIEU!$A$5:$A$10004=($J$2+18-2))*(NHAP_LIEU!$B$5:$B$10004=$A18),0),0)),CAU_HINH_CA!$A$5:$A$50,0))*INDEX(NHAP_LIEU!$E$5:$E$10004,MATCH(1,INDEX((NHAP_LIEU!$A$5:$A$10004=($J$2+18-2))*(NHAP_LIEU!$B$5:$B$10004=$A18),0),0)),0),""))</f>
        <v/>
      </c>
      <c r="S18" s="51">
        <f>IF(S7="","",IFERROR(S7/ROUND(INDEX(CAU_HINH_CA!$C$5:$C$50,MATCH(INDEX(NHAP_LIEU!$D$5:$D$10004,MATCH(1,INDEX((NHAP_LIEU!$A$5:$A$10004=($J$2+19-2))*(NHAP_LIEU!$B$5:$B$10004=$A18),0),0)),CAU_HINH_CA!$A$5:$A$50,0))*INDEX(NHAP_LIEU!$E$5:$E$10004,MATCH(1,INDEX((NHAP_LIEU!$A$5:$A$10004=($J$2+19-2))*(NHAP_LIEU!$B$5:$B$10004=$A18),0),0)),0),""))</f>
        <v/>
      </c>
      <c r="T18" s="51">
        <f>IF(T7="","",IFERROR(T7/ROUND(INDEX(CAU_HINH_CA!$C$5:$C$50,MATCH(INDEX(NHAP_LIEU!$D$5:$D$10004,MATCH(1,INDEX((NHAP_LIEU!$A$5:$A$10004=($J$2+20-2))*(NHAP_LIEU!$B$5:$B$10004=$A18),0),0)),CAU_HINH_CA!$A$5:$A$50,0))*INDEX(NHAP_LIEU!$E$5:$E$10004,MATCH(1,INDEX((NHAP_LIEU!$A$5:$A$10004=($J$2+20-2))*(NHAP_LIEU!$B$5:$B$10004=$A18),0),0)),0),""))</f>
        <v/>
      </c>
      <c r="U18" s="51">
        <f>IF(U7="","",IFERROR(U7/ROUND(INDEX(CAU_HINH_CA!$C$5:$C$50,MATCH(INDEX(NHAP_LIEU!$D$5:$D$10004,MATCH(1,INDEX((NHAP_LIEU!$A$5:$A$10004=($J$2+21-2))*(NHAP_LIEU!$B$5:$B$10004=$A18),0),0)),CAU_HINH_CA!$A$5:$A$50,0))*INDEX(NHAP_LIEU!$E$5:$E$10004,MATCH(1,INDEX((NHAP_LIEU!$A$5:$A$10004=($J$2+21-2))*(NHAP_LIEU!$B$5:$B$10004=$A18),0),0)),0),""))</f>
        <v/>
      </c>
      <c r="V18" s="51">
        <f>IF(V7="","",IFERROR(V7/ROUND(INDEX(CAU_HINH_CA!$C$5:$C$50,MATCH(INDEX(NHAP_LIEU!$D$5:$D$10004,MATCH(1,INDEX((NHAP_LIEU!$A$5:$A$10004=($J$2+22-2))*(NHAP_LIEU!$B$5:$B$10004=$A18),0),0)),CAU_HINH_CA!$A$5:$A$50,0))*INDEX(NHAP_LIEU!$E$5:$E$10004,MATCH(1,INDEX((NHAP_LIEU!$A$5:$A$10004=($J$2+22-2))*(NHAP_LIEU!$B$5:$B$10004=$A18),0),0)),0),""))</f>
        <v/>
      </c>
      <c r="W18" s="51">
        <f>IF(W7="","",IFERROR(W7/ROUND(INDEX(CAU_HINH_CA!$C$5:$C$50,MATCH(INDEX(NHAP_LIEU!$D$5:$D$10004,MATCH(1,INDEX((NHAP_LIEU!$A$5:$A$10004=($J$2+23-2))*(NHAP_LIEU!$B$5:$B$10004=$A18),0),0)),CAU_HINH_CA!$A$5:$A$50,0))*INDEX(NHAP_LIEU!$E$5:$E$10004,MATCH(1,INDEX((NHAP_LIEU!$A$5:$A$10004=($J$2+23-2))*(NHAP_LIEU!$B$5:$B$10004=$A18),0),0)),0),""))</f>
        <v/>
      </c>
      <c r="X18" s="51">
        <f>IF(X7="","",IFERROR(X7/ROUND(INDEX(CAU_HINH_CA!$C$5:$C$50,MATCH(INDEX(NHAP_LIEU!$D$5:$D$10004,MATCH(1,INDEX((NHAP_LIEU!$A$5:$A$10004=($J$2+24-2))*(NHAP_LIEU!$B$5:$B$10004=$A18),0),0)),CAU_HINH_CA!$A$5:$A$50,0))*INDEX(NHAP_LIEU!$E$5:$E$10004,MATCH(1,INDEX((NHAP_LIEU!$A$5:$A$10004=($J$2+24-2))*(NHAP_LIEU!$B$5:$B$10004=$A18),0),0)),0),""))</f>
        <v/>
      </c>
      <c r="Y18" s="51">
        <f>IF(Y7="","",IFERROR(Y7/ROUND(INDEX(CAU_HINH_CA!$C$5:$C$50,MATCH(INDEX(NHAP_LIEU!$D$5:$D$10004,MATCH(1,INDEX((NHAP_LIEU!$A$5:$A$10004=($J$2+25-2))*(NHAP_LIEU!$B$5:$B$10004=$A18),0),0)),CAU_HINH_CA!$A$5:$A$50,0))*INDEX(NHAP_LIEU!$E$5:$E$10004,MATCH(1,INDEX((NHAP_LIEU!$A$5:$A$10004=($J$2+25-2))*(NHAP_LIEU!$B$5:$B$10004=$A18),0),0)),0),""))</f>
        <v/>
      </c>
      <c r="Z18" s="51">
        <f>IF(Z7="","",IFERROR(Z7/ROUND(INDEX(CAU_HINH_CA!$C$5:$C$50,MATCH(INDEX(NHAP_LIEU!$D$5:$D$10004,MATCH(1,INDEX((NHAP_LIEU!$A$5:$A$10004=($J$2+26-2))*(NHAP_LIEU!$B$5:$B$10004=$A18),0),0)),CAU_HINH_CA!$A$5:$A$50,0))*INDEX(NHAP_LIEU!$E$5:$E$10004,MATCH(1,INDEX((NHAP_LIEU!$A$5:$A$10004=($J$2+26-2))*(NHAP_LIEU!$B$5:$B$10004=$A18),0),0)),0),""))</f>
        <v/>
      </c>
      <c r="AA18" s="51">
        <f>IF(AA7="","",IFERROR(AA7/ROUND(INDEX(CAU_HINH_CA!$C$5:$C$50,MATCH(INDEX(NHAP_LIEU!$D$5:$D$10004,MATCH(1,INDEX((NHAP_LIEU!$A$5:$A$10004=($J$2+27-2))*(NHAP_LIEU!$B$5:$B$10004=$A18),0),0)),CAU_HINH_CA!$A$5:$A$50,0))*INDEX(NHAP_LIEU!$E$5:$E$10004,MATCH(1,INDEX((NHAP_LIEU!$A$5:$A$10004=($J$2+27-2))*(NHAP_LIEU!$B$5:$B$10004=$A18),0),0)),0),""))</f>
        <v/>
      </c>
      <c r="AB18" s="51">
        <f>IF(AB7="","",IFERROR(AB7/ROUND(INDEX(CAU_HINH_CA!$C$5:$C$50,MATCH(INDEX(NHAP_LIEU!$D$5:$D$10004,MATCH(1,INDEX((NHAP_LIEU!$A$5:$A$10004=($J$2+28-2))*(NHAP_LIEU!$B$5:$B$10004=$A18),0),0)),CAU_HINH_CA!$A$5:$A$50,0))*INDEX(NHAP_LIEU!$E$5:$E$10004,MATCH(1,INDEX((NHAP_LIEU!$A$5:$A$10004=($J$2+28-2))*(NHAP_LIEU!$B$5:$B$10004=$A18),0),0)),0),""))</f>
        <v/>
      </c>
      <c r="AC18" s="51">
        <f>IF(AC7="","",IFERROR(AC7/ROUND(INDEX(CAU_HINH_CA!$C$5:$C$50,MATCH(INDEX(NHAP_LIEU!$D$5:$D$10004,MATCH(1,INDEX((NHAP_LIEU!$A$5:$A$10004=($J$2+29-2))*(NHAP_LIEU!$B$5:$B$10004=$A18),0),0)),CAU_HINH_CA!$A$5:$A$50,0))*INDEX(NHAP_LIEU!$E$5:$E$10004,MATCH(1,INDEX((NHAP_LIEU!$A$5:$A$10004=($J$2+29-2))*(NHAP_LIEU!$B$5:$B$10004=$A18),0),0)),0),""))</f>
        <v/>
      </c>
      <c r="AD18" s="51">
        <f>IF(AD7="","",IFERROR(AD7/ROUND(INDEX(CAU_HINH_CA!$C$5:$C$50,MATCH(INDEX(NHAP_LIEU!$D$5:$D$10004,MATCH(1,INDEX((NHAP_LIEU!$A$5:$A$10004=($J$2+30-2))*(NHAP_LIEU!$B$5:$B$10004=$A18),0),0)),CAU_HINH_CA!$A$5:$A$50,0))*INDEX(NHAP_LIEU!$E$5:$E$10004,MATCH(1,INDEX((NHAP_LIEU!$A$5:$A$10004=($J$2+30-2))*(NHAP_LIEU!$B$5:$B$10004=$A18),0),0)),0),""))</f>
        <v/>
      </c>
      <c r="AE18" s="51">
        <f>IF(AE7="","",IFERROR(AE7/ROUND(INDEX(CAU_HINH_CA!$C$5:$C$50,MATCH(INDEX(NHAP_LIEU!$D$5:$D$10004,MATCH(1,INDEX((NHAP_LIEU!$A$5:$A$10004=($J$2+31-2))*(NHAP_LIEU!$B$5:$B$10004=$A18),0),0)),CAU_HINH_CA!$A$5:$A$50,0))*INDEX(NHAP_LIEU!$E$5:$E$10004,MATCH(1,INDEX((NHAP_LIEU!$A$5:$A$10004=($J$2+31-2))*(NHAP_LIEU!$B$5:$B$10004=$A18),0),0)),0),""))</f>
        <v/>
      </c>
      <c r="AF18" s="51">
        <f>IF(AF7="","",IFERROR(AF7/ROUND(INDEX(CAU_HINH_CA!$C$5:$C$50,MATCH(INDEX(NHAP_LIEU!$D$5:$D$10004,MATCH(1,INDEX((NHAP_LIEU!$A$5:$A$10004=($J$2+32-2))*(NHAP_LIEU!$B$5:$B$10004=$A18),0),0)),CAU_HINH_CA!$A$5:$A$50,0))*INDEX(NHAP_LIEU!$E$5:$E$10004,MATCH(1,INDEX((NHAP_LIEU!$A$5:$A$10004=($J$2+32-2))*(NHAP_LIEU!$B$5:$B$10004=$A18),0),0)),0),""))</f>
        <v/>
      </c>
    </row>
    <row r="19">
      <c r="A19" s="47">
        <f>A8</f>
        <v/>
      </c>
      <c r="B19" s="51">
        <f>IF(B8="","",IFERROR(B8/ROUND(INDEX(CAU_HINH_CA!$C$5:$C$50,MATCH(INDEX(NHAP_LIEU!$D$5:$D$10004,MATCH(1,INDEX((NHAP_LIEU!$A$5:$A$10004=($J$2+2-2))*(NHAP_LIEU!$B$5:$B$10004=$A19),0),0)),CAU_HINH_CA!$A$5:$A$50,0))*INDEX(NHAP_LIEU!$E$5:$E$10004,MATCH(1,INDEX((NHAP_LIEU!$A$5:$A$10004=($J$2+2-2))*(NHAP_LIEU!$B$5:$B$10004=$A19),0),0)),0),""))</f>
        <v/>
      </c>
      <c r="C19" s="51">
        <f>IF(C8="","",IFERROR(C8/ROUND(INDEX(CAU_HINH_CA!$C$5:$C$50,MATCH(INDEX(NHAP_LIEU!$D$5:$D$10004,MATCH(1,INDEX((NHAP_LIEU!$A$5:$A$10004=($J$2+3-2))*(NHAP_LIEU!$B$5:$B$10004=$A19),0),0)),CAU_HINH_CA!$A$5:$A$50,0))*INDEX(NHAP_LIEU!$E$5:$E$10004,MATCH(1,INDEX((NHAP_LIEU!$A$5:$A$10004=($J$2+3-2))*(NHAP_LIEU!$B$5:$B$10004=$A19),0),0)),0),""))</f>
        <v/>
      </c>
      <c r="D19" s="51">
        <f>IF(D8="","",IFERROR(D8/ROUND(INDEX(CAU_HINH_CA!$C$5:$C$50,MATCH(INDEX(NHAP_LIEU!$D$5:$D$10004,MATCH(1,INDEX((NHAP_LIEU!$A$5:$A$10004=($J$2+4-2))*(NHAP_LIEU!$B$5:$B$10004=$A19),0),0)),CAU_HINH_CA!$A$5:$A$50,0))*INDEX(NHAP_LIEU!$E$5:$E$10004,MATCH(1,INDEX((NHAP_LIEU!$A$5:$A$10004=($J$2+4-2))*(NHAP_LIEU!$B$5:$B$10004=$A19),0),0)),0),""))</f>
        <v/>
      </c>
      <c r="E19" s="51">
        <f>IF(E8="","",IFERROR(E8/ROUND(INDEX(CAU_HINH_CA!$C$5:$C$50,MATCH(INDEX(NHAP_LIEU!$D$5:$D$10004,MATCH(1,INDEX((NHAP_LIEU!$A$5:$A$10004=($J$2+5-2))*(NHAP_LIEU!$B$5:$B$10004=$A19),0),0)),CAU_HINH_CA!$A$5:$A$50,0))*INDEX(NHAP_LIEU!$E$5:$E$10004,MATCH(1,INDEX((NHAP_LIEU!$A$5:$A$10004=($J$2+5-2))*(NHAP_LIEU!$B$5:$B$10004=$A19),0),0)),0),""))</f>
        <v/>
      </c>
      <c r="F19" s="51">
        <f>IF(F8="","",IFERROR(F8/ROUND(INDEX(CAU_HINH_CA!$C$5:$C$50,MATCH(INDEX(NHAP_LIEU!$D$5:$D$10004,MATCH(1,INDEX((NHAP_LIEU!$A$5:$A$10004=($J$2+6-2))*(NHAP_LIEU!$B$5:$B$10004=$A19),0),0)),CAU_HINH_CA!$A$5:$A$50,0))*INDEX(NHAP_LIEU!$E$5:$E$10004,MATCH(1,INDEX((NHAP_LIEU!$A$5:$A$10004=($J$2+6-2))*(NHAP_LIEU!$B$5:$B$10004=$A19),0),0)),0),""))</f>
        <v/>
      </c>
      <c r="G19" s="51">
        <f>IF(G8="","",IFERROR(G8/ROUND(INDEX(CAU_HINH_CA!$C$5:$C$50,MATCH(INDEX(NHAP_LIEU!$D$5:$D$10004,MATCH(1,INDEX((NHAP_LIEU!$A$5:$A$10004=($J$2+7-2))*(NHAP_LIEU!$B$5:$B$10004=$A19),0),0)),CAU_HINH_CA!$A$5:$A$50,0))*INDEX(NHAP_LIEU!$E$5:$E$10004,MATCH(1,INDEX((NHAP_LIEU!$A$5:$A$10004=($J$2+7-2))*(NHAP_LIEU!$B$5:$B$10004=$A19),0),0)),0),""))</f>
        <v/>
      </c>
      <c r="H19" s="51">
        <f>IF(H8="","",IFERROR(H8/ROUND(INDEX(CAU_HINH_CA!$C$5:$C$50,MATCH(INDEX(NHAP_LIEU!$D$5:$D$10004,MATCH(1,INDEX((NHAP_LIEU!$A$5:$A$10004=($J$2+8-2))*(NHAP_LIEU!$B$5:$B$10004=$A19),0),0)),CAU_HINH_CA!$A$5:$A$50,0))*INDEX(NHAP_LIEU!$E$5:$E$10004,MATCH(1,INDEX((NHAP_LIEU!$A$5:$A$10004=($J$2+8-2))*(NHAP_LIEU!$B$5:$B$10004=$A19),0),0)),0),""))</f>
        <v/>
      </c>
      <c r="I19" s="51">
        <f>IF(I8="","",IFERROR(I8/ROUND(INDEX(CAU_HINH_CA!$C$5:$C$50,MATCH(INDEX(NHAP_LIEU!$D$5:$D$10004,MATCH(1,INDEX((NHAP_LIEU!$A$5:$A$10004=($J$2+9-2))*(NHAP_LIEU!$B$5:$B$10004=$A19),0),0)),CAU_HINH_CA!$A$5:$A$50,0))*INDEX(NHAP_LIEU!$E$5:$E$10004,MATCH(1,INDEX((NHAP_LIEU!$A$5:$A$10004=($J$2+9-2))*(NHAP_LIEU!$B$5:$B$10004=$A19),0),0)),0),""))</f>
        <v/>
      </c>
      <c r="J19" s="51">
        <f>IF(J8="","",IFERROR(J8/ROUND(INDEX(CAU_HINH_CA!$C$5:$C$50,MATCH(INDEX(NHAP_LIEU!$D$5:$D$10004,MATCH(1,INDEX((NHAP_LIEU!$A$5:$A$10004=($J$2+10-2))*(NHAP_LIEU!$B$5:$B$10004=$A19),0),0)),CAU_HINH_CA!$A$5:$A$50,0))*INDEX(NHAP_LIEU!$E$5:$E$10004,MATCH(1,INDEX((NHAP_LIEU!$A$5:$A$10004=($J$2+10-2))*(NHAP_LIEU!$B$5:$B$10004=$A19),0),0)),0),""))</f>
        <v/>
      </c>
      <c r="K19" s="51">
        <f>IF(K8="","",IFERROR(K8/ROUND(INDEX(CAU_HINH_CA!$C$5:$C$50,MATCH(INDEX(NHAP_LIEU!$D$5:$D$10004,MATCH(1,INDEX((NHAP_LIEU!$A$5:$A$10004=($J$2+11-2))*(NHAP_LIEU!$B$5:$B$10004=$A19),0),0)),CAU_HINH_CA!$A$5:$A$50,0))*INDEX(NHAP_LIEU!$E$5:$E$10004,MATCH(1,INDEX((NHAP_LIEU!$A$5:$A$10004=($J$2+11-2))*(NHAP_LIEU!$B$5:$B$10004=$A19),0),0)),0),""))</f>
        <v/>
      </c>
      <c r="L19" s="51">
        <f>IF(L8="","",IFERROR(L8/ROUND(INDEX(CAU_HINH_CA!$C$5:$C$50,MATCH(INDEX(NHAP_LIEU!$D$5:$D$10004,MATCH(1,INDEX((NHAP_LIEU!$A$5:$A$10004=($J$2+12-2))*(NHAP_LIEU!$B$5:$B$10004=$A19),0),0)),CAU_HINH_CA!$A$5:$A$50,0))*INDEX(NHAP_LIEU!$E$5:$E$10004,MATCH(1,INDEX((NHAP_LIEU!$A$5:$A$10004=($J$2+12-2))*(NHAP_LIEU!$B$5:$B$10004=$A19),0),0)),0),""))</f>
        <v/>
      </c>
      <c r="M19" s="51">
        <f>IF(M8="","",IFERROR(M8/ROUND(INDEX(CAU_HINH_CA!$C$5:$C$50,MATCH(INDEX(NHAP_LIEU!$D$5:$D$10004,MATCH(1,INDEX((NHAP_LIEU!$A$5:$A$10004=($J$2+13-2))*(NHAP_LIEU!$B$5:$B$10004=$A19),0),0)),CAU_HINH_CA!$A$5:$A$50,0))*INDEX(NHAP_LIEU!$E$5:$E$10004,MATCH(1,INDEX((NHAP_LIEU!$A$5:$A$10004=($J$2+13-2))*(NHAP_LIEU!$B$5:$B$10004=$A19),0),0)),0),""))</f>
        <v/>
      </c>
      <c r="N19" s="51">
        <f>IF(N8="","",IFERROR(N8/ROUND(INDEX(CAU_HINH_CA!$C$5:$C$50,MATCH(INDEX(NHAP_LIEU!$D$5:$D$10004,MATCH(1,INDEX((NHAP_LIEU!$A$5:$A$10004=($J$2+14-2))*(NHAP_LIEU!$B$5:$B$10004=$A19),0),0)),CAU_HINH_CA!$A$5:$A$50,0))*INDEX(NHAP_LIEU!$E$5:$E$10004,MATCH(1,INDEX((NHAP_LIEU!$A$5:$A$10004=($J$2+14-2))*(NHAP_LIEU!$B$5:$B$10004=$A19),0),0)),0),""))</f>
        <v/>
      </c>
      <c r="O19" s="51">
        <f>IF(O8="","",IFERROR(O8/ROUND(INDEX(CAU_HINH_CA!$C$5:$C$50,MATCH(INDEX(NHAP_LIEU!$D$5:$D$10004,MATCH(1,INDEX((NHAP_LIEU!$A$5:$A$10004=($J$2+15-2))*(NHAP_LIEU!$B$5:$B$10004=$A19),0),0)),CAU_HINH_CA!$A$5:$A$50,0))*INDEX(NHAP_LIEU!$E$5:$E$10004,MATCH(1,INDEX((NHAP_LIEU!$A$5:$A$10004=($J$2+15-2))*(NHAP_LIEU!$B$5:$B$10004=$A19),0),0)),0),""))</f>
        <v/>
      </c>
      <c r="P19" s="51">
        <f>IF(P8="","",IFERROR(P8/ROUND(INDEX(CAU_HINH_CA!$C$5:$C$50,MATCH(INDEX(NHAP_LIEU!$D$5:$D$10004,MATCH(1,INDEX((NHAP_LIEU!$A$5:$A$10004=($J$2+16-2))*(NHAP_LIEU!$B$5:$B$10004=$A19),0),0)),CAU_HINH_CA!$A$5:$A$50,0))*INDEX(NHAP_LIEU!$E$5:$E$10004,MATCH(1,INDEX((NHAP_LIEU!$A$5:$A$10004=($J$2+16-2))*(NHAP_LIEU!$B$5:$B$10004=$A19),0),0)),0),""))</f>
        <v/>
      </c>
      <c r="Q19" s="51">
        <f>IF(Q8="","",IFERROR(Q8/ROUND(INDEX(CAU_HINH_CA!$C$5:$C$50,MATCH(INDEX(NHAP_LIEU!$D$5:$D$10004,MATCH(1,INDEX((NHAP_LIEU!$A$5:$A$10004=($J$2+17-2))*(NHAP_LIEU!$B$5:$B$10004=$A19),0),0)),CAU_HINH_CA!$A$5:$A$50,0))*INDEX(NHAP_LIEU!$E$5:$E$10004,MATCH(1,INDEX((NHAP_LIEU!$A$5:$A$10004=($J$2+17-2))*(NHAP_LIEU!$B$5:$B$10004=$A19),0),0)),0),""))</f>
        <v/>
      </c>
      <c r="R19" s="51">
        <f>IF(R8="","",IFERROR(R8/ROUND(INDEX(CAU_HINH_CA!$C$5:$C$50,MATCH(INDEX(NHAP_LIEU!$D$5:$D$10004,MATCH(1,INDEX((NHAP_LIEU!$A$5:$A$10004=($J$2+18-2))*(NHAP_LIEU!$B$5:$B$10004=$A19),0),0)),CAU_HINH_CA!$A$5:$A$50,0))*INDEX(NHAP_LIEU!$E$5:$E$10004,MATCH(1,INDEX((NHAP_LIEU!$A$5:$A$10004=($J$2+18-2))*(NHAP_LIEU!$B$5:$B$10004=$A19),0),0)),0),""))</f>
        <v/>
      </c>
      <c r="S19" s="51">
        <f>IF(S8="","",IFERROR(S8/ROUND(INDEX(CAU_HINH_CA!$C$5:$C$50,MATCH(INDEX(NHAP_LIEU!$D$5:$D$10004,MATCH(1,INDEX((NHAP_LIEU!$A$5:$A$10004=($J$2+19-2))*(NHAP_LIEU!$B$5:$B$10004=$A19),0),0)),CAU_HINH_CA!$A$5:$A$50,0))*INDEX(NHAP_LIEU!$E$5:$E$10004,MATCH(1,INDEX((NHAP_LIEU!$A$5:$A$10004=($J$2+19-2))*(NHAP_LIEU!$B$5:$B$10004=$A19),0),0)),0),""))</f>
        <v/>
      </c>
      <c r="T19" s="51">
        <f>IF(T8="","",IFERROR(T8/ROUND(INDEX(CAU_HINH_CA!$C$5:$C$50,MATCH(INDEX(NHAP_LIEU!$D$5:$D$10004,MATCH(1,INDEX((NHAP_LIEU!$A$5:$A$10004=($J$2+20-2))*(NHAP_LIEU!$B$5:$B$10004=$A19),0),0)),CAU_HINH_CA!$A$5:$A$50,0))*INDEX(NHAP_LIEU!$E$5:$E$10004,MATCH(1,INDEX((NHAP_LIEU!$A$5:$A$10004=($J$2+20-2))*(NHAP_LIEU!$B$5:$B$10004=$A19),0),0)),0),""))</f>
        <v/>
      </c>
      <c r="U19" s="51">
        <f>IF(U8="","",IFERROR(U8/ROUND(INDEX(CAU_HINH_CA!$C$5:$C$50,MATCH(INDEX(NHAP_LIEU!$D$5:$D$10004,MATCH(1,INDEX((NHAP_LIEU!$A$5:$A$10004=($J$2+21-2))*(NHAP_LIEU!$B$5:$B$10004=$A19),0),0)),CAU_HINH_CA!$A$5:$A$50,0))*INDEX(NHAP_LIEU!$E$5:$E$10004,MATCH(1,INDEX((NHAP_LIEU!$A$5:$A$10004=($J$2+21-2))*(NHAP_LIEU!$B$5:$B$10004=$A19),0),0)),0),""))</f>
        <v/>
      </c>
      <c r="V19" s="51">
        <f>IF(V8="","",IFERROR(V8/ROUND(INDEX(CAU_HINH_CA!$C$5:$C$50,MATCH(INDEX(NHAP_LIEU!$D$5:$D$10004,MATCH(1,INDEX((NHAP_LIEU!$A$5:$A$10004=($J$2+22-2))*(NHAP_LIEU!$B$5:$B$10004=$A19),0),0)),CAU_HINH_CA!$A$5:$A$50,0))*INDEX(NHAP_LIEU!$E$5:$E$10004,MATCH(1,INDEX((NHAP_LIEU!$A$5:$A$10004=($J$2+22-2))*(NHAP_LIEU!$B$5:$B$10004=$A19),0),0)),0),""))</f>
        <v/>
      </c>
      <c r="W19" s="51">
        <f>IF(W8="","",IFERROR(W8/ROUND(INDEX(CAU_HINH_CA!$C$5:$C$50,MATCH(INDEX(NHAP_LIEU!$D$5:$D$10004,MATCH(1,INDEX((NHAP_LIEU!$A$5:$A$10004=($J$2+23-2))*(NHAP_LIEU!$B$5:$B$10004=$A19),0),0)),CAU_HINH_CA!$A$5:$A$50,0))*INDEX(NHAP_LIEU!$E$5:$E$10004,MATCH(1,INDEX((NHAP_LIEU!$A$5:$A$10004=($J$2+23-2))*(NHAP_LIEU!$B$5:$B$10004=$A19),0),0)),0),""))</f>
        <v/>
      </c>
      <c r="X19" s="51">
        <f>IF(X8="","",IFERROR(X8/ROUND(INDEX(CAU_HINH_CA!$C$5:$C$50,MATCH(INDEX(NHAP_LIEU!$D$5:$D$10004,MATCH(1,INDEX((NHAP_LIEU!$A$5:$A$10004=($J$2+24-2))*(NHAP_LIEU!$B$5:$B$10004=$A19),0),0)),CAU_HINH_CA!$A$5:$A$50,0))*INDEX(NHAP_LIEU!$E$5:$E$10004,MATCH(1,INDEX((NHAP_LIEU!$A$5:$A$10004=($J$2+24-2))*(NHAP_LIEU!$B$5:$B$10004=$A19),0),0)),0),""))</f>
        <v/>
      </c>
      <c r="Y19" s="51">
        <f>IF(Y8="","",IFERROR(Y8/ROUND(INDEX(CAU_HINH_CA!$C$5:$C$50,MATCH(INDEX(NHAP_LIEU!$D$5:$D$10004,MATCH(1,INDEX((NHAP_LIEU!$A$5:$A$10004=($J$2+25-2))*(NHAP_LIEU!$B$5:$B$10004=$A19),0),0)),CAU_HINH_CA!$A$5:$A$50,0))*INDEX(NHAP_LIEU!$E$5:$E$10004,MATCH(1,INDEX((NHAP_LIEU!$A$5:$A$10004=($J$2+25-2))*(NHAP_LIEU!$B$5:$B$10004=$A19),0),0)),0),""))</f>
        <v/>
      </c>
      <c r="Z19" s="51">
        <f>IF(Z8="","",IFERROR(Z8/ROUND(INDEX(CAU_HINH_CA!$C$5:$C$50,MATCH(INDEX(NHAP_LIEU!$D$5:$D$10004,MATCH(1,INDEX((NHAP_LIEU!$A$5:$A$10004=($J$2+26-2))*(NHAP_LIEU!$B$5:$B$10004=$A19),0),0)),CAU_HINH_CA!$A$5:$A$50,0))*INDEX(NHAP_LIEU!$E$5:$E$10004,MATCH(1,INDEX((NHAP_LIEU!$A$5:$A$10004=($J$2+26-2))*(NHAP_LIEU!$B$5:$B$10004=$A19),0),0)),0),""))</f>
        <v/>
      </c>
      <c r="AA19" s="51">
        <f>IF(AA8="","",IFERROR(AA8/ROUND(INDEX(CAU_HINH_CA!$C$5:$C$50,MATCH(INDEX(NHAP_LIEU!$D$5:$D$10004,MATCH(1,INDEX((NHAP_LIEU!$A$5:$A$10004=($J$2+27-2))*(NHAP_LIEU!$B$5:$B$10004=$A19),0),0)),CAU_HINH_CA!$A$5:$A$50,0))*INDEX(NHAP_LIEU!$E$5:$E$10004,MATCH(1,INDEX((NHAP_LIEU!$A$5:$A$10004=($J$2+27-2))*(NHAP_LIEU!$B$5:$B$10004=$A19),0),0)),0),""))</f>
        <v/>
      </c>
      <c r="AB19" s="51">
        <f>IF(AB8="","",IFERROR(AB8/ROUND(INDEX(CAU_HINH_CA!$C$5:$C$50,MATCH(INDEX(NHAP_LIEU!$D$5:$D$10004,MATCH(1,INDEX((NHAP_LIEU!$A$5:$A$10004=($J$2+28-2))*(NHAP_LIEU!$B$5:$B$10004=$A19),0),0)),CAU_HINH_CA!$A$5:$A$50,0))*INDEX(NHAP_LIEU!$E$5:$E$10004,MATCH(1,INDEX((NHAP_LIEU!$A$5:$A$10004=($J$2+28-2))*(NHAP_LIEU!$B$5:$B$10004=$A19),0),0)),0),""))</f>
        <v/>
      </c>
      <c r="AC19" s="51">
        <f>IF(AC8="","",IFERROR(AC8/ROUND(INDEX(CAU_HINH_CA!$C$5:$C$50,MATCH(INDEX(NHAP_LIEU!$D$5:$D$10004,MATCH(1,INDEX((NHAP_LIEU!$A$5:$A$10004=($J$2+29-2))*(NHAP_LIEU!$B$5:$B$10004=$A19),0),0)),CAU_HINH_CA!$A$5:$A$50,0))*INDEX(NHAP_LIEU!$E$5:$E$10004,MATCH(1,INDEX((NHAP_LIEU!$A$5:$A$10004=($J$2+29-2))*(NHAP_LIEU!$B$5:$B$10004=$A19),0),0)),0),""))</f>
        <v/>
      </c>
      <c r="AD19" s="51">
        <f>IF(AD8="","",IFERROR(AD8/ROUND(INDEX(CAU_HINH_CA!$C$5:$C$50,MATCH(INDEX(NHAP_LIEU!$D$5:$D$10004,MATCH(1,INDEX((NHAP_LIEU!$A$5:$A$10004=($J$2+30-2))*(NHAP_LIEU!$B$5:$B$10004=$A19),0),0)),CAU_HINH_CA!$A$5:$A$50,0))*INDEX(NHAP_LIEU!$E$5:$E$10004,MATCH(1,INDEX((NHAP_LIEU!$A$5:$A$10004=($J$2+30-2))*(NHAP_LIEU!$B$5:$B$10004=$A19),0),0)),0),""))</f>
        <v/>
      </c>
      <c r="AE19" s="51">
        <f>IF(AE8="","",IFERROR(AE8/ROUND(INDEX(CAU_HINH_CA!$C$5:$C$50,MATCH(INDEX(NHAP_LIEU!$D$5:$D$10004,MATCH(1,INDEX((NHAP_LIEU!$A$5:$A$10004=($J$2+31-2))*(NHAP_LIEU!$B$5:$B$10004=$A19),0),0)),CAU_HINH_CA!$A$5:$A$50,0))*INDEX(NHAP_LIEU!$E$5:$E$10004,MATCH(1,INDEX((NHAP_LIEU!$A$5:$A$10004=($J$2+31-2))*(NHAP_LIEU!$B$5:$B$10004=$A19),0),0)),0),""))</f>
        <v/>
      </c>
      <c r="AF19" s="51">
        <f>IF(AF8="","",IFERROR(AF8/ROUND(INDEX(CAU_HINH_CA!$C$5:$C$50,MATCH(INDEX(NHAP_LIEU!$D$5:$D$10004,MATCH(1,INDEX((NHAP_LIEU!$A$5:$A$10004=($J$2+32-2))*(NHAP_LIEU!$B$5:$B$10004=$A19),0),0)),CAU_HINH_CA!$A$5:$A$50,0))*INDEX(NHAP_LIEU!$E$5:$E$10004,MATCH(1,INDEX((NHAP_LIEU!$A$5:$A$10004=($J$2+32-2))*(NHAP_LIEU!$B$5:$B$10004=$A19),0),0)),0),""))</f>
        <v/>
      </c>
    </row>
    <row r="20">
      <c r="A20" s="47">
        <f>A9</f>
        <v/>
      </c>
      <c r="B20" s="51">
        <f>IF(B9="","",IFERROR(B9/ROUND(INDEX(CAU_HINH_CA!$C$5:$C$50,MATCH(INDEX(NHAP_LIEU!$D$5:$D$10004,MATCH(1,INDEX((NHAP_LIEU!$A$5:$A$10004=($J$2+2-2))*(NHAP_LIEU!$B$5:$B$10004=$A20),0),0)),CAU_HINH_CA!$A$5:$A$50,0))*INDEX(NHAP_LIEU!$E$5:$E$10004,MATCH(1,INDEX((NHAP_LIEU!$A$5:$A$10004=($J$2+2-2))*(NHAP_LIEU!$B$5:$B$10004=$A20),0),0)),0),""))</f>
        <v/>
      </c>
      <c r="C20" s="51">
        <f>IF(C9="","",IFERROR(C9/ROUND(INDEX(CAU_HINH_CA!$C$5:$C$50,MATCH(INDEX(NHAP_LIEU!$D$5:$D$10004,MATCH(1,INDEX((NHAP_LIEU!$A$5:$A$10004=($J$2+3-2))*(NHAP_LIEU!$B$5:$B$10004=$A20),0),0)),CAU_HINH_CA!$A$5:$A$50,0))*INDEX(NHAP_LIEU!$E$5:$E$10004,MATCH(1,INDEX((NHAP_LIEU!$A$5:$A$10004=($J$2+3-2))*(NHAP_LIEU!$B$5:$B$10004=$A20),0),0)),0),""))</f>
        <v/>
      </c>
      <c r="D20" s="51">
        <f>IF(D9="","",IFERROR(D9/ROUND(INDEX(CAU_HINH_CA!$C$5:$C$50,MATCH(INDEX(NHAP_LIEU!$D$5:$D$10004,MATCH(1,INDEX((NHAP_LIEU!$A$5:$A$10004=($J$2+4-2))*(NHAP_LIEU!$B$5:$B$10004=$A20),0),0)),CAU_HINH_CA!$A$5:$A$50,0))*INDEX(NHAP_LIEU!$E$5:$E$10004,MATCH(1,INDEX((NHAP_LIEU!$A$5:$A$10004=($J$2+4-2))*(NHAP_LIEU!$B$5:$B$10004=$A20),0),0)),0),""))</f>
        <v/>
      </c>
      <c r="E20" s="51">
        <f>IF(E9="","",IFERROR(E9/ROUND(INDEX(CAU_HINH_CA!$C$5:$C$50,MATCH(INDEX(NHAP_LIEU!$D$5:$D$10004,MATCH(1,INDEX((NHAP_LIEU!$A$5:$A$10004=($J$2+5-2))*(NHAP_LIEU!$B$5:$B$10004=$A20),0),0)),CAU_HINH_CA!$A$5:$A$50,0))*INDEX(NHAP_LIEU!$E$5:$E$10004,MATCH(1,INDEX((NHAP_LIEU!$A$5:$A$10004=($J$2+5-2))*(NHAP_LIEU!$B$5:$B$10004=$A20),0),0)),0),""))</f>
        <v/>
      </c>
      <c r="F20" s="51">
        <f>IF(F9="","",IFERROR(F9/ROUND(INDEX(CAU_HINH_CA!$C$5:$C$50,MATCH(INDEX(NHAP_LIEU!$D$5:$D$10004,MATCH(1,INDEX((NHAP_LIEU!$A$5:$A$10004=($J$2+6-2))*(NHAP_LIEU!$B$5:$B$10004=$A20),0),0)),CAU_HINH_CA!$A$5:$A$50,0))*INDEX(NHAP_LIEU!$E$5:$E$10004,MATCH(1,INDEX((NHAP_LIEU!$A$5:$A$10004=($J$2+6-2))*(NHAP_LIEU!$B$5:$B$10004=$A20),0),0)),0),""))</f>
        <v/>
      </c>
      <c r="G20" s="51">
        <f>IF(G9="","",IFERROR(G9/ROUND(INDEX(CAU_HINH_CA!$C$5:$C$50,MATCH(INDEX(NHAP_LIEU!$D$5:$D$10004,MATCH(1,INDEX((NHAP_LIEU!$A$5:$A$10004=($J$2+7-2))*(NHAP_LIEU!$B$5:$B$10004=$A20),0),0)),CAU_HINH_CA!$A$5:$A$50,0))*INDEX(NHAP_LIEU!$E$5:$E$10004,MATCH(1,INDEX((NHAP_LIEU!$A$5:$A$10004=($J$2+7-2))*(NHAP_LIEU!$B$5:$B$10004=$A20),0),0)),0),""))</f>
        <v/>
      </c>
      <c r="H20" s="51">
        <f>IF(H9="","",IFERROR(H9/ROUND(INDEX(CAU_HINH_CA!$C$5:$C$50,MATCH(INDEX(NHAP_LIEU!$D$5:$D$10004,MATCH(1,INDEX((NHAP_LIEU!$A$5:$A$10004=($J$2+8-2))*(NHAP_LIEU!$B$5:$B$10004=$A20),0),0)),CAU_HINH_CA!$A$5:$A$50,0))*INDEX(NHAP_LIEU!$E$5:$E$10004,MATCH(1,INDEX((NHAP_LIEU!$A$5:$A$10004=($J$2+8-2))*(NHAP_LIEU!$B$5:$B$10004=$A20),0),0)),0),""))</f>
        <v/>
      </c>
      <c r="I20" s="51">
        <f>IF(I9="","",IFERROR(I9/ROUND(INDEX(CAU_HINH_CA!$C$5:$C$50,MATCH(INDEX(NHAP_LIEU!$D$5:$D$10004,MATCH(1,INDEX((NHAP_LIEU!$A$5:$A$10004=($J$2+9-2))*(NHAP_LIEU!$B$5:$B$10004=$A20),0),0)),CAU_HINH_CA!$A$5:$A$50,0))*INDEX(NHAP_LIEU!$E$5:$E$10004,MATCH(1,INDEX((NHAP_LIEU!$A$5:$A$10004=($J$2+9-2))*(NHAP_LIEU!$B$5:$B$10004=$A20),0),0)),0),""))</f>
        <v/>
      </c>
      <c r="J20" s="51">
        <f>IF(J9="","",IFERROR(J9/ROUND(INDEX(CAU_HINH_CA!$C$5:$C$50,MATCH(INDEX(NHAP_LIEU!$D$5:$D$10004,MATCH(1,INDEX((NHAP_LIEU!$A$5:$A$10004=($J$2+10-2))*(NHAP_LIEU!$B$5:$B$10004=$A20),0),0)),CAU_HINH_CA!$A$5:$A$50,0))*INDEX(NHAP_LIEU!$E$5:$E$10004,MATCH(1,INDEX((NHAP_LIEU!$A$5:$A$10004=($J$2+10-2))*(NHAP_LIEU!$B$5:$B$10004=$A20),0),0)),0),""))</f>
        <v/>
      </c>
      <c r="K20" s="51">
        <f>IF(K9="","",IFERROR(K9/ROUND(INDEX(CAU_HINH_CA!$C$5:$C$50,MATCH(INDEX(NHAP_LIEU!$D$5:$D$10004,MATCH(1,INDEX((NHAP_LIEU!$A$5:$A$10004=($J$2+11-2))*(NHAP_LIEU!$B$5:$B$10004=$A20),0),0)),CAU_HINH_CA!$A$5:$A$50,0))*INDEX(NHAP_LIEU!$E$5:$E$10004,MATCH(1,INDEX((NHAP_LIEU!$A$5:$A$10004=($J$2+11-2))*(NHAP_LIEU!$B$5:$B$10004=$A20),0),0)),0),""))</f>
        <v/>
      </c>
      <c r="L20" s="51">
        <f>IF(L9="","",IFERROR(L9/ROUND(INDEX(CAU_HINH_CA!$C$5:$C$50,MATCH(INDEX(NHAP_LIEU!$D$5:$D$10004,MATCH(1,INDEX((NHAP_LIEU!$A$5:$A$10004=($J$2+12-2))*(NHAP_LIEU!$B$5:$B$10004=$A20),0),0)),CAU_HINH_CA!$A$5:$A$50,0))*INDEX(NHAP_LIEU!$E$5:$E$10004,MATCH(1,INDEX((NHAP_LIEU!$A$5:$A$10004=($J$2+12-2))*(NHAP_LIEU!$B$5:$B$10004=$A20),0),0)),0),""))</f>
        <v/>
      </c>
      <c r="M20" s="51">
        <f>IF(M9="","",IFERROR(M9/ROUND(INDEX(CAU_HINH_CA!$C$5:$C$50,MATCH(INDEX(NHAP_LIEU!$D$5:$D$10004,MATCH(1,INDEX((NHAP_LIEU!$A$5:$A$10004=($J$2+13-2))*(NHAP_LIEU!$B$5:$B$10004=$A20),0),0)),CAU_HINH_CA!$A$5:$A$50,0))*INDEX(NHAP_LIEU!$E$5:$E$10004,MATCH(1,INDEX((NHAP_LIEU!$A$5:$A$10004=($J$2+13-2))*(NHAP_LIEU!$B$5:$B$10004=$A20),0),0)),0),""))</f>
        <v/>
      </c>
      <c r="N20" s="51">
        <f>IF(N9="","",IFERROR(N9/ROUND(INDEX(CAU_HINH_CA!$C$5:$C$50,MATCH(INDEX(NHAP_LIEU!$D$5:$D$10004,MATCH(1,INDEX((NHAP_LIEU!$A$5:$A$10004=($J$2+14-2))*(NHAP_LIEU!$B$5:$B$10004=$A20),0),0)),CAU_HINH_CA!$A$5:$A$50,0))*INDEX(NHAP_LIEU!$E$5:$E$10004,MATCH(1,INDEX((NHAP_LIEU!$A$5:$A$10004=($J$2+14-2))*(NHAP_LIEU!$B$5:$B$10004=$A20),0),0)),0),""))</f>
        <v/>
      </c>
      <c r="O20" s="51">
        <f>IF(O9="","",IFERROR(O9/ROUND(INDEX(CAU_HINH_CA!$C$5:$C$50,MATCH(INDEX(NHAP_LIEU!$D$5:$D$10004,MATCH(1,INDEX((NHAP_LIEU!$A$5:$A$10004=($J$2+15-2))*(NHAP_LIEU!$B$5:$B$10004=$A20),0),0)),CAU_HINH_CA!$A$5:$A$50,0))*INDEX(NHAP_LIEU!$E$5:$E$10004,MATCH(1,INDEX((NHAP_LIEU!$A$5:$A$10004=($J$2+15-2))*(NHAP_LIEU!$B$5:$B$10004=$A20),0),0)),0),""))</f>
        <v/>
      </c>
      <c r="P20" s="51">
        <f>IF(P9="","",IFERROR(P9/ROUND(INDEX(CAU_HINH_CA!$C$5:$C$50,MATCH(INDEX(NHAP_LIEU!$D$5:$D$10004,MATCH(1,INDEX((NHAP_LIEU!$A$5:$A$10004=($J$2+16-2))*(NHAP_LIEU!$B$5:$B$10004=$A20),0),0)),CAU_HINH_CA!$A$5:$A$50,0))*INDEX(NHAP_LIEU!$E$5:$E$10004,MATCH(1,INDEX((NHAP_LIEU!$A$5:$A$10004=($J$2+16-2))*(NHAP_LIEU!$B$5:$B$10004=$A20),0),0)),0),""))</f>
        <v/>
      </c>
      <c r="Q20" s="51">
        <f>IF(Q9="","",IFERROR(Q9/ROUND(INDEX(CAU_HINH_CA!$C$5:$C$50,MATCH(INDEX(NHAP_LIEU!$D$5:$D$10004,MATCH(1,INDEX((NHAP_LIEU!$A$5:$A$10004=($J$2+17-2))*(NHAP_LIEU!$B$5:$B$10004=$A20),0),0)),CAU_HINH_CA!$A$5:$A$50,0))*INDEX(NHAP_LIEU!$E$5:$E$10004,MATCH(1,INDEX((NHAP_LIEU!$A$5:$A$10004=($J$2+17-2))*(NHAP_LIEU!$B$5:$B$10004=$A20),0),0)),0),""))</f>
        <v/>
      </c>
      <c r="R20" s="51">
        <f>IF(R9="","",IFERROR(R9/ROUND(INDEX(CAU_HINH_CA!$C$5:$C$50,MATCH(INDEX(NHAP_LIEU!$D$5:$D$10004,MATCH(1,INDEX((NHAP_LIEU!$A$5:$A$10004=($J$2+18-2))*(NHAP_LIEU!$B$5:$B$10004=$A20),0),0)),CAU_HINH_CA!$A$5:$A$50,0))*INDEX(NHAP_LIEU!$E$5:$E$10004,MATCH(1,INDEX((NHAP_LIEU!$A$5:$A$10004=($J$2+18-2))*(NHAP_LIEU!$B$5:$B$10004=$A20),0),0)),0),""))</f>
        <v/>
      </c>
      <c r="S20" s="51">
        <f>IF(S9="","",IFERROR(S9/ROUND(INDEX(CAU_HINH_CA!$C$5:$C$50,MATCH(INDEX(NHAP_LIEU!$D$5:$D$10004,MATCH(1,INDEX((NHAP_LIEU!$A$5:$A$10004=($J$2+19-2))*(NHAP_LIEU!$B$5:$B$10004=$A20),0),0)),CAU_HINH_CA!$A$5:$A$50,0))*INDEX(NHAP_LIEU!$E$5:$E$10004,MATCH(1,INDEX((NHAP_LIEU!$A$5:$A$10004=($J$2+19-2))*(NHAP_LIEU!$B$5:$B$10004=$A20),0),0)),0),""))</f>
        <v/>
      </c>
      <c r="T20" s="51">
        <f>IF(T9="","",IFERROR(T9/ROUND(INDEX(CAU_HINH_CA!$C$5:$C$50,MATCH(INDEX(NHAP_LIEU!$D$5:$D$10004,MATCH(1,INDEX((NHAP_LIEU!$A$5:$A$10004=($J$2+20-2))*(NHAP_LIEU!$B$5:$B$10004=$A20),0),0)),CAU_HINH_CA!$A$5:$A$50,0))*INDEX(NHAP_LIEU!$E$5:$E$10004,MATCH(1,INDEX((NHAP_LIEU!$A$5:$A$10004=($J$2+20-2))*(NHAP_LIEU!$B$5:$B$10004=$A20),0),0)),0),""))</f>
        <v/>
      </c>
      <c r="U20" s="51">
        <f>IF(U9="","",IFERROR(U9/ROUND(INDEX(CAU_HINH_CA!$C$5:$C$50,MATCH(INDEX(NHAP_LIEU!$D$5:$D$10004,MATCH(1,INDEX((NHAP_LIEU!$A$5:$A$10004=($J$2+21-2))*(NHAP_LIEU!$B$5:$B$10004=$A20),0),0)),CAU_HINH_CA!$A$5:$A$50,0))*INDEX(NHAP_LIEU!$E$5:$E$10004,MATCH(1,INDEX((NHAP_LIEU!$A$5:$A$10004=($J$2+21-2))*(NHAP_LIEU!$B$5:$B$10004=$A20),0),0)),0),""))</f>
        <v/>
      </c>
      <c r="V20" s="51">
        <f>IF(V9="","",IFERROR(V9/ROUND(INDEX(CAU_HINH_CA!$C$5:$C$50,MATCH(INDEX(NHAP_LIEU!$D$5:$D$10004,MATCH(1,INDEX((NHAP_LIEU!$A$5:$A$10004=($J$2+22-2))*(NHAP_LIEU!$B$5:$B$10004=$A20),0),0)),CAU_HINH_CA!$A$5:$A$50,0))*INDEX(NHAP_LIEU!$E$5:$E$10004,MATCH(1,INDEX((NHAP_LIEU!$A$5:$A$10004=($J$2+22-2))*(NHAP_LIEU!$B$5:$B$10004=$A20),0),0)),0),""))</f>
        <v/>
      </c>
      <c r="W20" s="51">
        <f>IF(W9="","",IFERROR(W9/ROUND(INDEX(CAU_HINH_CA!$C$5:$C$50,MATCH(INDEX(NHAP_LIEU!$D$5:$D$10004,MATCH(1,INDEX((NHAP_LIEU!$A$5:$A$10004=($J$2+23-2))*(NHAP_LIEU!$B$5:$B$10004=$A20),0),0)),CAU_HINH_CA!$A$5:$A$50,0))*INDEX(NHAP_LIEU!$E$5:$E$10004,MATCH(1,INDEX((NHAP_LIEU!$A$5:$A$10004=($J$2+23-2))*(NHAP_LIEU!$B$5:$B$10004=$A20),0),0)),0),""))</f>
        <v/>
      </c>
      <c r="X20" s="51">
        <f>IF(X9="","",IFERROR(X9/ROUND(INDEX(CAU_HINH_CA!$C$5:$C$50,MATCH(INDEX(NHAP_LIEU!$D$5:$D$10004,MATCH(1,INDEX((NHAP_LIEU!$A$5:$A$10004=($J$2+24-2))*(NHAP_LIEU!$B$5:$B$10004=$A20),0),0)),CAU_HINH_CA!$A$5:$A$50,0))*INDEX(NHAP_LIEU!$E$5:$E$10004,MATCH(1,INDEX((NHAP_LIEU!$A$5:$A$10004=($J$2+24-2))*(NHAP_LIEU!$B$5:$B$10004=$A20),0),0)),0),""))</f>
        <v/>
      </c>
      <c r="Y20" s="51">
        <f>IF(Y9="","",IFERROR(Y9/ROUND(INDEX(CAU_HINH_CA!$C$5:$C$50,MATCH(INDEX(NHAP_LIEU!$D$5:$D$10004,MATCH(1,INDEX((NHAP_LIEU!$A$5:$A$10004=($J$2+25-2))*(NHAP_LIEU!$B$5:$B$10004=$A20),0),0)),CAU_HINH_CA!$A$5:$A$50,0))*INDEX(NHAP_LIEU!$E$5:$E$10004,MATCH(1,INDEX((NHAP_LIEU!$A$5:$A$10004=($J$2+25-2))*(NHAP_LIEU!$B$5:$B$10004=$A20),0),0)),0),""))</f>
        <v/>
      </c>
      <c r="Z20" s="51">
        <f>IF(Z9="","",IFERROR(Z9/ROUND(INDEX(CAU_HINH_CA!$C$5:$C$50,MATCH(INDEX(NHAP_LIEU!$D$5:$D$10004,MATCH(1,INDEX((NHAP_LIEU!$A$5:$A$10004=($J$2+26-2))*(NHAP_LIEU!$B$5:$B$10004=$A20),0),0)),CAU_HINH_CA!$A$5:$A$50,0))*INDEX(NHAP_LIEU!$E$5:$E$10004,MATCH(1,INDEX((NHAP_LIEU!$A$5:$A$10004=($J$2+26-2))*(NHAP_LIEU!$B$5:$B$10004=$A20),0),0)),0),""))</f>
        <v/>
      </c>
      <c r="AA20" s="51">
        <f>IF(AA9="","",IFERROR(AA9/ROUND(INDEX(CAU_HINH_CA!$C$5:$C$50,MATCH(INDEX(NHAP_LIEU!$D$5:$D$10004,MATCH(1,INDEX((NHAP_LIEU!$A$5:$A$10004=($J$2+27-2))*(NHAP_LIEU!$B$5:$B$10004=$A20),0),0)),CAU_HINH_CA!$A$5:$A$50,0))*INDEX(NHAP_LIEU!$E$5:$E$10004,MATCH(1,INDEX((NHAP_LIEU!$A$5:$A$10004=($J$2+27-2))*(NHAP_LIEU!$B$5:$B$10004=$A20),0),0)),0),""))</f>
        <v/>
      </c>
      <c r="AB20" s="51">
        <f>IF(AB9="","",IFERROR(AB9/ROUND(INDEX(CAU_HINH_CA!$C$5:$C$50,MATCH(INDEX(NHAP_LIEU!$D$5:$D$10004,MATCH(1,INDEX((NHAP_LIEU!$A$5:$A$10004=($J$2+28-2))*(NHAP_LIEU!$B$5:$B$10004=$A20),0),0)),CAU_HINH_CA!$A$5:$A$50,0))*INDEX(NHAP_LIEU!$E$5:$E$10004,MATCH(1,INDEX((NHAP_LIEU!$A$5:$A$10004=($J$2+28-2))*(NHAP_LIEU!$B$5:$B$10004=$A20),0),0)),0),""))</f>
        <v/>
      </c>
      <c r="AC20" s="51">
        <f>IF(AC9="","",IFERROR(AC9/ROUND(INDEX(CAU_HINH_CA!$C$5:$C$50,MATCH(INDEX(NHAP_LIEU!$D$5:$D$10004,MATCH(1,INDEX((NHAP_LIEU!$A$5:$A$10004=($J$2+29-2))*(NHAP_LIEU!$B$5:$B$10004=$A20),0),0)),CAU_HINH_CA!$A$5:$A$50,0))*INDEX(NHAP_LIEU!$E$5:$E$10004,MATCH(1,INDEX((NHAP_LIEU!$A$5:$A$10004=($J$2+29-2))*(NHAP_LIEU!$B$5:$B$10004=$A20),0),0)),0),""))</f>
        <v/>
      </c>
      <c r="AD20" s="51">
        <f>IF(AD9="","",IFERROR(AD9/ROUND(INDEX(CAU_HINH_CA!$C$5:$C$50,MATCH(INDEX(NHAP_LIEU!$D$5:$D$10004,MATCH(1,INDEX((NHAP_LIEU!$A$5:$A$10004=($J$2+30-2))*(NHAP_LIEU!$B$5:$B$10004=$A20),0),0)),CAU_HINH_CA!$A$5:$A$50,0))*INDEX(NHAP_LIEU!$E$5:$E$10004,MATCH(1,INDEX((NHAP_LIEU!$A$5:$A$10004=($J$2+30-2))*(NHAP_LIEU!$B$5:$B$10004=$A20),0),0)),0),""))</f>
        <v/>
      </c>
      <c r="AE20" s="51">
        <f>IF(AE9="","",IFERROR(AE9/ROUND(INDEX(CAU_HINH_CA!$C$5:$C$50,MATCH(INDEX(NHAP_LIEU!$D$5:$D$10004,MATCH(1,INDEX((NHAP_LIEU!$A$5:$A$10004=($J$2+31-2))*(NHAP_LIEU!$B$5:$B$10004=$A20),0),0)),CAU_HINH_CA!$A$5:$A$50,0))*INDEX(NHAP_LIEU!$E$5:$E$10004,MATCH(1,INDEX((NHAP_LIEU!$A$5:$A$10004=($J$2+31-2))*(NHAP_LIEU!$B$5:$B$10004=$A20),0),0)),0),""))</f>
        <v/>
      </c>
      <c r="AF20" s="51">
        <f>IF(AF9="","",IFERROR(AF9/ROUND(INDEX(CAU_HINH_CA!$C$5:$C$50,MATCH(INDEX(NHAP_LIEU!$D$5:$D$10004,MATCH(1,INDEX((NHAP_LIEU!$A$5:$A$10004=($J$2+32-2))*(NHAP_LIEU!$B$5:$B$10004=$A20),0),0)),CAU_HINH_CA!$A$5:$A$50,0))*INDEX(NHAP_LIEU!$E$5:$E$10004,MATCH(1,INDEX((NHAP_LIEU!$A$5:$A$10004=($J$2+32-2))*(NHAP_LIEU!$B$5:$B$10004=$A20),0),0)),0),""))</f>
        <v/>
      </c>
    </row>
    <row r="21">
      <c r="A21" s="47">
        <f>A10</f>
        <v/>
      </c>
      <c r="B21" s="51">
        <f>IF(B10="","",IFERROR(B10/ROUND(INDEX(CAU_HINH_CA!$C$5:$C$50,MATCH(INDEX(NHAP_LIEU!$D$5:$D$10004,MATCH(1,INDEX((NHAP_LIEU!$A$5:$A$10004=($J$2+2-2))*(NHAP_LIEU!$B$5:$B$10004=$A21),0),0)),CAU_HINH_CA!$A$5:$A$50,0))*INDEX(NHAP_LIEU!$E$5:$E$10004,MATCH(1,INDEX((NHAP_LIEU!$A$5:$A$10004=($J$2+2-2))*(NHAP_LIEU!$B$5:$B$10004=$A21),0),0)),0),""))</f>
        <v/>
      </c>
      <c r="C21" s="51">
        <f>IF(C10="","",IFERROR(C10/ROUND(INDEX(CAU_HINH_CA!$C$5:$C$50,MATCH(INDEX(NHAP_LIEU!$D$5:$D$10004,MATCH(1,INDEX((NHAP_LIEU!$A$5:$A$10004=($J$2+3-2))*(NHAP_LIEU!$B$5:$B$10004=$A21),0),0)),CAU_HINH_CA!$A$5:$A$50,0))*INDEX(NHAP_LIEU!$E$5:$E$10004,MATCH(1,INDEX((NHAP_LIEU!$A$5:$A$10004=($J$2+3-2))*(NHAP_LIEU!$B$5:$B$10004=$A21),0),0)),0),""))</f>
        <v/>
      </c>
      <c r="D21" s="51">
        <f>IF(D10="","",IFERROR(D10/ROUND(INDEX(CAU_HINH_CA!$C$5:$C$50,MATCH(INDEX(NHAP_LIEU!$D$5:$D$10004,MATCH(1,INDEX((NHAP_LIEU!$A$5:$A$10004=($J$2+4-2))*(NHAP_LIEU!$B$5:$B$10004=$A21),0),0)),CAU_HINH_CA!$A$5:$A$50,0))*INDEX(NHAP_LIEU!$E$5:$E$10004,MATCH(1,INDEX((NHAP_LIEU!$A$5:$A$10004=($J$2+4-2))*(NHAP_LIEU!$B$5:$B$10004=$A21),0),0)),0),""))</f>
        <v/>
      </c>
      <c r="E21" s="51">
        <f>IF(E10="","",IFERROR(E10/ROUND(INDEX(CAU_HINH_CA!$C$5:$C$50,MATCH(INDEX(NHAP_LIEU!$D$5:$D$10004,MATCH(1,INDEX((NHAP_LIEU!$A$5:$A$10004=($J$2+5-2))*(NHAP_LIEU!$B$5:$B$10004=$A21),0),0)),CAU_HINH_CA!$A$5:$A$50,0))*INDEX(NHAP_LIEU!$E$5:$E$10004,MATCH(1,INDEX((NHAP_LIEU!$A$5:$A$10004=($J$2+5-2))*(NHAP_LIEU!$B$5:$B$10004=$A21),0),0)),0),""))</f>
        <v/>
      </c>
      <c r="F21" s="51">
        <f>IF(F10="","",IFERROR(F10/ROUND(INDEX(CAU_HINH_CA!$C$5:$C$50,MATCH(INDEX(NHAP_LIEU!$D$5:$D$10004,MATCH(1,INDEX((NHAP_LIEU!$A$5:$A$10004=($J$2+6-2))*(NHAP_LIEU!$B$5:$B$10004=$A21),0),0)),CAU_HINH_CA!$A$5:$A$50,0))*INDEX(NHAP_LIEU!$E$5:$E$10004,MATCH(1,INDEX((NHAP_LIEU!$A$5:$A$10004=($J$2+6-2))*(NHAP_LIEU!$B$5:$B$10004=$A21),0),0)),0),""))</f>
        <v/>
      </c>
      <c r="G21" s="51">
        <f>IF(G10="","",IFERROR(G10/ROUND(INDEX(CAU_HINH_CA!$C$5:$C$50,MATCH(INDEX(NHAP_LIEU!$D$5:$D$10004,MATCH(1,INDEX((NHAP_LIEU!$A$5:$A$10004=($J$2+7-2))*(NHAP_LIEU!$B$5:$B$10004=$A21),0),0)),CAU_HINH_CA!$A$5:$A$50,0))*INDEX(NHAP_LIEU!$E$5:$E$10004,MATCH(1,INDEX((NHAP_LIEU!$A$5:$A$10004=($J$2+7-2))*(NHAP_LIEU!$B$5:$B$10004=$A21),0),0)),0),""))</f>
        <v/>
      </c>
      <c r="H21" s="51">
        <f>IF(H10="","",IFERROR(H10/ROUND(INDEX(CAU_HINH_CA!$C$5:$C$50,MATCH(INDEX(NHAP_LIEU!$D$5:$D$10004,MATCH(1,INDEX((NHAP_LIEU!$A$5:$A$10004=($J$2+8-2))*(NHAP_LIEU!$B$5:$B$10004=$A21),0),0)),CAU_HINH_CA!$A$5:$A$50,0))*INDEX(NHAP_LIEU!$E$5:$E$10004,MATCH(1,INDEX((NHAP_LIEU!$A$5:$A$10004=($J$2+8-2))*(NHAP_LIEU!$B$5:$B$10004=$A21),0),0)),0),""))</f>
        <v/>
      </c>
      <c r="I21" s="51">
        <f>IF(I10="","",IFERROR(I10/ROUND(INDEX(CAU_HINH_CA!$C$5:$C$50,MATCH(INDEX(NHAP_LIEU!$D$5:$D$10004,MATCH(1,INDEX((NHAP_LIEU!$A$5:$A$10004=($J$2+9-2))*(NHAP_LIEU!$B$5:$B$10004=$A21),0),0)),CAU_HINH_CA!$A$5:$A$50,0))*INDEX(NHAP_LIEU!$E$5:$E$10004,MATCH(1,INDEX((NHAP_LIEU!$A$5:$A$10004=($J$2+9-2))*(NHAP_LIEU!$B$5:$B$10004=$A21),0),0)),0),""))</f>
        <v/>
      </c>
      <c r="J21" s="51">
        <f>IF(J10="","",IFERROR(J10/ROUND(INDEX(CAU_HINH_CA!$C$5:$C$50,MATCH(INDEX(NHAP_LIEU!$D$5:$D$10004,MATCH(1,INDEX((NHAP_LIEU!$A$5:$A$10004=($J$2+10-2))*(NHAP_LIEU!$B$5:$B$10004=$A21),0),0)),CAU_HINH_CA!$A$5:$A$50,0))*INDEX(NHAP_LIEU!$E$5:$E$10004,MATCH(1,INDEX((NHAP_LIEU!$A$5:$A$10004=($J$2+10-2))*(NHAP_LIEU!$B$5:$B$10004=$A21),0),0)),0),""))</f>
        <v/>
      </c>
      <c r="K21" s="51">
        <f>IF(K10="","",IFERROR(K10/ROUND(INDEX(CAU_HINH_CA!$C$5:$C$50,MATCH(INDEX(NHAP_LIEU!$D$5:$D$10004,MATCH(1,INDEX((NHAP_LIEU!$A$5:$A$10004=($J$2+11-2))*(NHAP_LIEU!$B$5:$B$10004=$A21),0),0)),CAU_HINH_CA!$A$5:$A$50,0))*INDEX(NHAP_LIEU!$E$5:$E$10004,MATCH(1,INDEX((NHAP_LIEU!$A$5:$A$10004=($J$2+11-2))*(NHAP_LIEU!$B$5:$B$10004=$A21),0),0)),0),""))</f>
        <v/>
      </c>
      <c r="L21" s="51">
        <f>IF(L10="","",IFERROR(L10/ROUND(INDEX(CAU_HINH_CA!$C$5:$C$50,MATCH(INDEX(NHAP_LIEU!$D$5:$D$10004,MATCH(1,INDEX((NHAP_LIEU!$A$5:$A$10004=($J$2+12-2))*(NHAP_LIEU!$B$5:$B$10004=$A21),0),0)),CAU_HINH_CA!$A$5:$A$50,0))*INDEX(NHAP_LIEU!$E$5:$E$10004,MATCH(1,INDEX((NHAP_LIEU!$A$5:$A$10004=($J$2+12-2))*(NHAP_LIEU!$B$5:$B$10004=$A21),0),0)),0),""))</f>
        <v/>
      </c>
      <c r="M21" s="51">
        <f>IF(M10="","",IFERROR(M10/ROUND(INDEX(CAU_HINH_CA!$C$5:$C$50,MATCH(INDEX(NHAP_LIEU!$D$5:$D$10004,MATCH(1,INDEX((NHAP_LIEU!$A$5:$A$10004=($J$2+13-2))*(NHAP_LIEU!$B$5:$B$10004=$A21),0),0)),CAU_HINH_CA!$A$5:$A$50,0))*INDEX(NHAP_LIEU!$E$5:$E$10004,MATCH(1,INDEX((NHAP_LIEU!$A$5:$A$10004=($J$2+13-2))*(NHAP_LIEU!$B$5:$B$10004=$A21),0),0)),0),""))</f>
        <v/>
      </c>
      <c r="N21" s="51">
        <f>IF(N10="","",IFERROR(N10/ROUND(INDEX(CAU_HINH_CA!$C$5:$C$50,MATCH(INDEX(NHAP_LIEU!$D$5:$D$10004,MATCH(1,INDEX((NHAP_LIEU!$A$5:$A$10004=($J$2+14-2))*(NHAP_LIEU!$B$5:$B$10004=$A21),0),0)),CAU_HINH_CA!$A$5:$A$50,0))*INDEX(NHAP_LIEU!$E$5:$E$10004,MATCH(1,INDEX((NHAP_LIEU!$A$5:$A$10004=($J$2+14-2))*(NHAP_LIEU!$B$5:$B$10004=$A21),0),0)),0),""))</f>
        <v/>
      </c>
      <c r="O21" s="51">
        <f>IF(O10="","",IFERROR(O10/ROUND(INDEX(CAU_HINH_CA!$C$5:$C$50,MATCH(INDEX(NHAP_LIEU!$D$5:$D$10004,MATCH(1,INDEX((NHAP_LIEU!$A$5:$A$10004=($J$2+15-2))*(NHAP_LIEU!$B$5:$B$10004=$A21),0),0)),CAU_HINH_CA!$A$5:$A$50,0))*INDEX(NHAP_LIEU!$E$5:$E$10004,MATCH(1,INDEX((NHAP_LIEU!$A$5:$A$10004=($J$2+15-2))*(NHAP_LIEU!$B$5:$B$10004=$A21),0),0)),0),""))</f>
        <v/>
      </c>
      <c r="P21" s="51">
        <f>IF(P10="","",IFERROR(P10/ROUND(INDEX(CAU_HINH_CA!$C$5:$C$50,MATCH(INDEX(NHAP_LIEU!$D$5:$D$10004,MATCH(1,INDEX((NHAP_LIEU!$A$5:$A$10004=($J$2+16-2))*(NHAP_LIEU!$B$5:$B$10004=$A21),0),0)),CAU_HINH_CA!$A$5:$A$50,0))*INDEX(NHAP_LIEU!$E$5:$E$10004,MATCH(1,INDEX((NHAP_LIEU!$A$5:$A$10004=($J$2+16-2))*(NHAP_LIEU!$B$5:$B$10004=$A21),0),0)),0),""))</f>
        <v/>
      </c>
      <c r="Q21" s="51">
        <f>IF(Q10="","",IFERROR(Q10/ROUND(INDEX(CAU_HINH_CA!$C$5:$C$50,MATCH(INDEX(NHAP_LIEU!$D$5:$D$10004,MATCH(1,INDEX((NHAP_LIEU!$A$5:$A$10004=($J$2+17-2))*(NHAP_LIEU!$B$5:$B$10004=$A21),0),0)),CAU_HINH_CA!$A$5:$A$50,0))*INDEX(NHAP_LIEU!$E$5:$E$10004,MATCH(1,INDEX((NHAP_LIEU!$A$5:$A$10004=($J$2+17-2))*(NHAP_LIEU!$B$5:$B$10004=$A21),0),0)),0),""))</f>
        <v/>
      </c>
      <c r="R21" s="51">
        <f>IF(R10="","",IFERROR(R10/ROUND(INDEX(CAU_HINH_CA!$C$5:$C$50,MATCH(INDEX(NHAP_LIEU!$D$5:$D$10004,MATCH(1,INDEX((NHAP_LIEU!$A$5:$A$10004=($J$2+18-2))*(NHAP_LIEU!$B$5:$B$10004=$A21),0),0)),CAU_HINH_CA!$A$5:$A$50,0))*INDEX(NHAP_LIEU!$E$5:$E$10004,MATCH(1,INDEX((NHAP_LIEU!$A$5:$A$10004=($J$2+18-2))*(NHAP_LIEU!$B$5:$B$10004=$A21),0),0)),0),""))</f>
        <v/>
      </c>
      <c r="S21" s="51">
        <f>IF(S10="","",IFERROR(S10/ROUND(INDEX(CAU_HINH_CA!$C$5:$C$50,MATCH(INDEX(NHAP_LIEU!$D$5:$D$10004,MATCH(1,INDEX((NHAP_LIEU!$A$5:$A$10004=($J$2+19-2))*(NHAP_LIEU!$B$5:$B$10004=$A21),0),0)),CAU_HINH_CA!$A$5:$A$50,0))*INDEX(NHAP_LIEU!$E$5:$E$10004,MATCH(1,INDEX((NHAP_LIEU!$A$5:$A$10004=($J$2+19-2))*(NHAP_LIEU!$B$5:$B$10004=$A21),0),0)),0),""))</f>
        <v/>
      </c>
      <c r="T21" s="51">
        <f>IF(T10="","",IFERROR(T10/ROUND(INDEX(CAU_HINH_CA!$C$5:$C$50,MATCH(INDEX(NHAP_LIEU!$D$5:$D$10004,MATCH(1,INDEX((NHAP_LIEU!$A$5:$A$10004=($J$2+20-2))*(NHAP_LIEU!$B$5:$B$10004=$A21),0),0)),CAU_HINH_CA!$A$5:$A$50,0))*INDEX(NHAP_LIEU!$E$5:$E$10004,MATCH(1,INDEX((NHAP_LIEU!$A$5:$A$10004=($J$2+20-2))*(NHAP_LIEU!$B$5:$B$10004=$A21),0),0)),0),""))</f>
        <v/>
      </c>
      <c r="U21" s="51">
        <f>IF(U10="","",IFERROR(U10/ROUND(INDEX(CAU_HINH_CA!$C$5:$C$50,MATCH(INDEX(NHAP_LIEU!$D$5:$D$10004,MATCH(1,INDEX((NHAP_LIEU!$A$5:$A$10004=($J$2+21-2))*(NHAP_LIEU!$B$5:$B$10004=$A21),0),0)),CAU_HINH_CA!$A$5:$A$50,0))*INDEX(NHAP_LIEU!$E$5:$E$10004,MATCH(1,INDEX((NHAP_LIEU!$A$5:$A$10004=($J$2+21-2))*(NHAP_LIEU!$B$5:$B$10004=$A21),0),0)),0),""))</f>
        <v/>
      </c>
      <c r="V21" s="51">
        <f>IF(V10="","",IFERROR(V10/ROUND(INDEX(CAU_HINH_CA!$C$5:$C$50,MATCH(INDEX(NHAP_LIEU!$D$5:$D$10004,MATCH(1,INDEX((NHAP_LIEU!$A$5:$A$10004=($J$2+22-2))*(NHAP_LIEU!$B$5:$B$10004=$A21),0),0)),CAU_HINH_CA!$A$5:$A$50,0))*INDEX(NHAP_LIEU!$E$5:$E$10004,MATCH(1,INDEX((NHAP_LIEU!$A$5:$A$10004=($J$2+22-2))*(NHAP_LIEU!$B$5:$B$10004=$A21),0),0)),0),""))</f>
        <v/>
      </c>
      <c r="W21" s="51">
        <f>IF(W10="","",IFERROR(W10/ROUND(INDEX(CAU_HINH_CA!$C$5:$C$50,MATCH(INDEX(NHAP_LIEU!$D$5:$D$10004,MATCH(1,INDEX((NHAP_LIEU!$A$5:$A$10004=($J$2+23-2))*(NHAP_LIEU!$B$5:$B$10004=$A21),0),0)),CAU_HINH_CA!$A$5:$A$50,0))*INDEX(NHAP_LIEU!$E$5:$E$10004,MATCH(1,INDEX((NHAP_LIEU!$A$5:$A$10004=($J$2+23-2))*(NHAP_LIEU!$B$5:$B$10004=$A21),0),0)),0),""))</f>
        <v/>
      </c>
      <c r="X21" s="51">
        <f>IF(X10="","",IFERROR(X10/ROUND(INDEX(CAU_HINH_CA!$C$5:$C$50,MATCH(INDEX(NHAP_LIEU!$D$5:$D$10004,MATCH(1,INDEX((NHAP_LIEU!$A$5:$A$10004=($J$2+24-2))*(NHAP_LIEU!$B$5:$B$10004=$A21),0),0)),CAU_HINH_CA!$A$5:$A$50,0))*INDEX(NHAP_LIEU!$E$5:$E$10004,MATCH(1,INDEX((NHAP_LIEU!$A$5:$A$10004=($J$2+24-2))*(NHAP_LIEU!$B$5:$B$10004=$A21),0),0)),0),""))</f>
        <v/>
      </c>
      <c r="Y21" s="51">
        <f>IF(Y10="","",IFERROR(Y10/ROUND(INDEX(CAU_HINH_CA!$C$5:$C$50,MATCH(INDEX(NHAP_LIEU!$D$5:$D$10004,MATCH(1,INDEX((NHAP_LIEU!$A$5:$A$10004=($J$2+25-2))*(NHAP_LIEU!$B$5:$B$10004=$A21),0),0)),CAU_HINH_CA!$A$5:$A$50,0))*INDEX(NHAP_LIEU!$E$5:$E$10004,MATCH(1,INDEX((NHAP_LIEU!$A$5:$A$10004=($J$2+25-2))*(NHAP_LIEU!$B$5:$B$10004=$A21),0),0)),0),""))</f>
        <v/>
      </c>
      <c r="Z21" s="51">
        <f>IF(Z10="","",IFERROR(Z10/ROUND(INDEX(CAU_HINH_CA!$C$5:$C$50,MATCH(INDEX(NHAP_LIEU!$D$5:$D$10004,MATCH(1,INDEX((NHAP_LIEU!$A$5:$A$10004=($J$2+26-2))*(NHAP_LIEU!$B$5:$B$10004=$A21),0),0)),CAU_HINH_CA!$A$5:$A$50,0))*INDEX(NHAP_LIEU!$E$5:$E$10004,MATCH(1,INDEX((NHAP_LIEU!$A$5:$A$10004=($J$2+26-2))*(NHAP_LIEU!$B$5:$B$10004=$A21),0),0)),0),""))</f>
        <v/>
      </c>
      <c r="AA21" s="51">
        <f>IF(AA10="","",IFERROR(AA10/ROUND(INDEX(CAU_HINH_CA!$C$5:$C$50,MATCH(INDEX(NHAP_LIEU!$D$5:$D$10004,MATCH(1,INDEX((NHAP_LIEU!$A$5:$A$10004=($J$2+27-2))*(NHAP_LIEU!$B$5:$B$10004=$A21),0),0)),CAU_HINH_CA!$A$5:$A$50,0))*INDEX(NHAP_LIEU!$E$5:$E$10004,MATCH(1,INDEX((NHAP_LIEU!$A$5:$A$10004=($J$2+27-2))*(NHAP_LIEU!$B$5:$B$10004=$A21),0),0)),0),""))</f>
        <v/>
      </c>
      <c r="AB21" s="51">
        <f>IF(AB10="","",IFERROR(AB10/ROUND(INDEX(CAU_HINH_CA!$C$5:$C$50,MATCH(INDEX(NHAP_LIEU!$D$5:$D$10004,MATCH(1,INDEX((NHAP_LIEU!$A$5:$A$10004=($J$2+28-2))*(NHAP_LIEU!$B$5:$B$10004=$A21),0),0)),CAU_HINH_CA!$A$5:$A$50,0))*INDEX(NHAP_LIEU!$E$5:$E$10004,MATCH(1,INDEX((NHAP_LIEU!$A$5:$A$10004=($J$2+28-2))*(NHAP_LIEU!$B$5:$B$10004=$A21),0),0)),0),""))</f>
        <v/>
      </c>
      <c r="AC21" s="51">
        <f>IF(AC10="","",IFERROR(AC10/ROUND(INDEX(CAU_HINH_CA!$C$5:$C$50,MATCH(INDEX(NHAP_LIEU!$D$5:$D$10004,MATCH(1,INDEX((NHAP_LIEU!$A$5:$A$10004=($J$2+29-2))*(NHAP_LIEU!$B$5:$B$10004=$A21),0),0)),CAU_HINH_CA!$A$5:$A$50,0))*INDEX(NHAP_LIEU!$E$5:$E$10004,MATCH(1,INDEX((NHAP_LIEU!$A$5:$A$10004=($J$2+29-2))*(NHAP_LIEU!$B$5:$B$10004=$A21),0),0)),0),""))</f>
        <v/>
      </c>
      <c r="AD21" s="51">
        <f>IF(AD10="","",IFERROR(AD10/ROUND(INDEX(CAU_HINH_CA!$C$5:$C$50,MATCH(INDEX(NHAP_LIEU!$D$5:$D$10004,MATCH(1,INDEX((NHAP_LIEU!$A$5:$A$10004=($J$2+30-2))*(NHAP_LIEU!$B$5:$B$10004=$A21),0),0)),CAU_HINH_CA!$A$5:$A$50,0))*INDEX(NHAP_LIEU!$E$5:$E$10004,MATCH(1,INDEX((NHAP_LIEU!$A$5:$A$10004=($J$2+30-2))*(NHAP_LIEU!$B$5:$B$10004=$A21),0),0)),0),""))</f>
        <v/>
      </c>
      <c r="AE21" s="51">
        <f>IF(AE10="","",IFERROR(AE10/ROUND(INDEX(CAU_HINH_CA!$C$5:$C$50,MATCH(INDEX(NHAP_LIEU!$D$5:$D$10004,MATCH(1,INDEX((NHAP_LIEU!$A$5:$A$10004=($J$2+31-2))*(NHAP_LIEU!$B$5:$B$10004=$A21),0),0)),CAU_HINH_CA!$A$5:$A$50,0))*INDEX(NHAP_LIEU!$E$5:$E$10004,MATCH(1,INDEX((NHAP_LIEU!$A$5:$A$10004=($J$2+31-2))*(NHAP_LIEU!$B$5:$B$10004=$A21),0),0)),0),""))</f>
        <v/>
      </c>
      <c r="AF21" s="51">
        <f>IF(AF10="","",IFERROR(AF10/ROUND(INDEX(CAU_HINH_CA!$C$5:$C$50,MATCH(INDEX(NHAP_LIEU!$D$5:$D$10004,MATCH(1,INDEX((NHAP_LIEU!$A$5:$A$10004=($J$2+32-2))*(NHAP_LIEU!$B$5:$B$10004=$A21),0),0)),CAU_HINH_CA!$A$5:$A$50,0))*INDEX(NHAP_LIEU!$E$5:$E$10004,MATCH(1,INDEX((NHAP_LIEU!$A$5:$A$10004=($J$2+32-2))*(NHAP_LIEU!$B$5:$B$10004=$A21),0),0)),0),""))</f>
        <v/>
      </c>
    </row>
    <row r="22">
      <c r="A22" s="47">
        <f>A11</f>
        <v/>
      </c>
      <c r="B22" s="51">
        <f>IF(B11="","",IFERROR(B11/ROUND(INDEX(CAU_HINH_CA!$C$5:$C$50,MATCH(INDEX(NHAP_LIEU!$D$5:$D$10004,MATCH(1,INDEX((NHAP_LIEU!$A$5:$A$10004=($J$2+2-2))*(NHAP_LIEU!$B$5:$B$10004=$A22),0),0)),CAU_HINH_CA!$A$5:$A$50,0))*INDEX(NHAP_LIEU!$E$5:$E$10004,MATCH(1,INDEX((NHAP_LIEU!$A$5:$A$10004=($J$2+2-2))*(NHAP_LIEU!$B$5:$B$10004=$A22),0),0)),0),""))</f>
        <v/>
      </c>
      <c r="C22" s="51">
        <f>IF(C11="","",IFERROR(C11/ROUND(INDEX(CAU_HINH_CA!$C$5:$C$50,MATCH(INDEX(NHAP_LIEU!$D$5:$D$10004,MATCH(1,INDEX((NHAP_LIEU!$A$5:$A$10004=($J$2+3-2))*(NHAP_LIEU!$B$5:$B$10004=$A22),0),0)),CAU_HINH_CA!$A$5:$A$50,0))*INDEX(NHAP_LIEU!$E$5:$E$10004,MATCH(1,INDEX((NHAP_LIEU!$A$5:$A$10004=($J$2+3-2))*(NHAP_LIEU!$B$5:$B$10004=$A22),0),0)),0),""))</f>
        <v/>
      </c>
      <c r="D22" s="51">
        <f>IF(D11="","",IFERROR(D11/ROUND(INDEX(CAU_HINH_CA!$C$5:$C$50,MATCH(INDEX(NHAP_LIEU!$D$5:$D$10004,MATCH(1,INDEX((NHAP_LIEU!$A$5:$A$10004=($J$2+4-2))*(NHAP_LIEU!$B$5:$B$10004=$A22),0),0)),CAU_HINH_CA!$A$5:$A$50,0))*INDEX(NHAP_LIEU!$E$5:$E$10004,MATCH(1,INDEX((NHAP_LIEU!$A$5:$A$10004=($J$2+4-2))*(NHAP_LIEU!$B$5:$B$10004=$A22),0),0)),0),""))</f>
        <v/>
      </c>
      <c r="E22" s="51">
        <f>IF(E11="","",IFERROR(E11/ROUND(INDEX(CAU_HINH_CA!$C$5:$C$50,MATCH(INDEX(NHAP_LIEU!$D$5:$D$10004,MATCH(1,INDEX((NHAP_LIEU!$A$5:$A$10004=($J$2+5-2))*(NHAP_LIEU!$B$5:$B$10004=$A22),0),0)),CAU_HINH_CA!$A$5:$A$50,0))*INDEX(NHAP_LIEU!$E$5:$E$10004,MATCH(1,INDEX((NHAP_LIEU!$A$5:$A$10004=($J$2+5-2))*(NHAP_LIEU!$B$5:$B$10004=$A22),0),0)),0),""))</f>
        <v/>
      </c>
      <c r="F22" s="51">
        <f>IF(F11="","",IFERROR(F11/ROUND(INDEX(CAU_HINH_CA!$C$5:$C$50,MATCH(INDEX(NHAP_LIEU!$D$5:$D$10004,MATCH(1,INDEX((NHAP_LIEU!$A$5:$A$10004=($J$2+6-2))*(NHAP_LIEU!$B$5:$B$10004=$A22),0),0)),CAU_HINH_CA!$A$5:$A$50,0))*INDEX(NHAP_LIEU!$E$5:$E$10004,MATCH(1,INDEX((NHAP_LIEU!$A$5:$A$10004=($J$2+6-2))*(NHAP_LIEU!$B$5:$B$10004=$A22),0),0)),0),""))</f>
        <v/>
      </c>
      <c r="G22" s="51">
        <f>IF(G11="","",IFERROR(G11/ROUND(INDEX(CAU_HINH_CA!$C$5:$C$50,MATCH(INDEX(NHAP_LIEU!$D$5:$D$10004,MATCH(1,INDEX((NHAP_LIEU!$A$5:$A$10004=($J$2+7-2))*(NHAP_LIEU!$B$5:$B$10004=$A22),0),0)),CAU_HINH_CA!$A$5:$A$50,0))*INDEX(NHAP_LIEU!$E$5:$E$10004,MATCH(1,INDEX((NHAP_LIEU!$A$5:$A$10004=($J$2+7-2))*(NHAP_LIEU!$B$5:$B$10004=$A22),0),0)),0),""))</f>
        <v/>
      </c>
      <c r="H22" s="51">
        <f>IF(H11="","",IFERROR(H11/ROUND(INDEX(CAU_HINH_CA!$C$5:$C$50,MATCH(INDEX(NHAP_LIEU!$D$5:$D$10004,MATCH(1,INDEX((NHAP_LIEU!$A$5:$A$10004=($J$2+8-2))*(NHAP_LIEU!$B$5:$B$10004=$A22),0),0)),CAU_HINH_CA!$A$5:$A$50,0))*INDEX(NHAP_LIEU!$E$5:$E$10004,MATCH(1,INDEX((NHAP_LIEU!$A$5:$A$10004=($J$2+8-2))*(NHAP_LIEU!$B$5:$B$10004=$A22),0),0)),0),""))</f>
        <v/>
      </c>
      <c r="I22" s="51">
        <f>IF(I11="","",IFERROR(I11/ROUND(INDEX(CAU_HINH_CA!$C$5:$C$50,MATCH(INDEX(NHAP_LIEU!$D$5:$D$10004,MATCH(1,INDEX((NHAP_LIEU!$A$5:$A$10004=($J$2+9-2))*(NHAP_LIEU!$B$5:$B$10004=$A22),0),0)),CAU_HINH_CA!$A$5:$A$50,0))*INDEX(NHAP_LIEU!$E$5:$E$10004,MATCH(1,INDEX((NHAP_LIEU!$A$5:$A$10004=($J$2+9-2))*(NHAP_LIEU!$B$5:$B$10004=$A22),0),0)),0),""))</f>
        <v/>
      </c>
      <c r="J22" s="51">
        <f>IF(J11="","",IFERROR(J11/ROUND(INDEX(CAU_HINH_CA!$C$5:$C$50,MATCH(INDEX(NHAP_LIEU!$D$5:$D$10004,MATCH(1,INDEX((NHAP_LIEU!$A$5:$A$10004=($J$2+10-2))*(NHAP_LIEU!$B$5:$B$10004=$A22),0),0)),CAU_HINH_CA!$A$5:$A$50,0))*INDEX(NHAP_LIEU!$E$5:$E$10004,MATCH(1,INDEX((NHAP_LIEU!$A$5:$A$10004=($J$2+10-2))*(NHAP_LIEU!$B$5:$B$10004=$A22),0),0)),0),""))</f>
        <v/>
      </c>
      <c r="K22" s="51">
        <f>IF(K11="","",IFERROR(K11/ROUND(INDEX(CAU_HINH_CA!$C$5:$C$50,MATCH(INDEX(NHAP_LIEU!$D$5:$D$10004,MATCH(1,INDEX((NHAP_LIEU!$A$5:$A$10004=($J$2+11-2))*(NHAP_LIEU!$B$5:$B$10004=$A22),0),0)),CAU_HINH_CA!$A$5:$A$50,0))*INDEX(NHAP_LIEU!$E$5:$E$10004,MATCH(1,INDEX((NHAP_LIEU!$A$5:$A$10004=($J$2+11-2))*(NHAP_LIEU!$B$5:$B$10004=$A22),0),0)),0),""))</f>
        <v/>
      </c>
      <c r="L22" s="51">
        <f>IF(L11="","",IFERROR(L11/ROUND(INDEX(CAU_HINH_CA!$C$5:$C$50,MATCH(INDEX(NHAP_LIEU!$D$5:$D$10004,MATCH(1,INDEX((NHAP_LIEU!$A$5:$A$10004=($J$2+12-2))*(NHAP_LIEU!$B$5:$B$10004=$A22),0),0)),CAU_HINH_CA!$A$5:$A$50,0))*INDEX(NHAP_LIEU!$E$5:$E$10004,MATCH(1,INDEX((NHAP_LIEU!$A$5:$A$10004=($J$2+12-2))*(NHAP_LIEU!$B$5:$B$10004=$A22),0),0)),0),""))</f>
        <v/>
      </c>
      <c r="M22" s="51">
        <f>IF(M11="","",IFERROR(M11/ROUND(INDEX(CAU_HINH_CA!$C$5:$C$50,MATCH(INDEX(NHAP_LIEU!$D$5:$D$10004,MATCH(1,INDEX((NHAP_LIEU!$A$5:$A$10004=($J$2+13-2))*(NHAP_LIEU!$B$5:$B$10004=$A22),0),0)),CAU_HINH_CA!$A$5:$A$50,0))*INDEX(NHAP_LIEU!$E$5:$E$10004,MATCH(1,INDEX((NHAP_LIEU!$A$5:$A$10004=($J$2+13-2))*(NHAP_LIEU!$B$5:$B$10004=$A22),0),0)),0),""))</f>
        <v/>
      </c>
      <c r="N22" s="51">
        <f>IF(N11="","",IFERROR(N11/ROUND(INDEX(CAU_HINH_CA!$C$5:$C$50,MATCH(INDEX(NHAP_LIEU!$D$5:$D$10004,MATCH(1,INDEX((NHAP_LIEU!$A$5:$A$10004=($J$2+14-2))*(NHAP_LIEU!$B$5:$B$10004=$A22),0),0)),CAU_HINH_CA!$A$5:$A$50,0))*INDEX(NHAP_LIEU!$E$5:$E$10004,MATCH(1,INDEX((NHAP_LIEU!$A$5:$A$10004=($J$2+14-2))*(NHAP_LIEU!$B$5:$B$10004=$A22),0),0)),0),""))</f>
        <v/>
      </c>
      <c r="O22" s="51">
        <f>IF(O11="","",IFERROR(O11/ROUND(INDEX(CAU_HINH_CA!$C$5:$C$50,MATCH(INDEX(NHAP_LIEU!$D$5:$D$10004,MATCH(1,INDEX((NHAP_LIEU!$A$5:$A$10004=($J$2+15-2))*(NHAP_LIEU!$B$5:$B$10004=$A22),0),0)),CAU_HINH_CA!$A$5:$A$50,0))*INDEX(NHAP_LIEU!$E$5:$E$10004,MATCH(1,INDEX((NHAP_LIEU!$A$5:$A$10004=($J$2+15-2))*(NHAP_LIEU!$B$5:$B$10004=$A22),0),0)),0),""))</f>
        <v/>
      </c>
      <c r="P22" s="51">
        <f>IF(P11="","",IFERROR(P11/ROUND(INDEX(CAU_HINH_CA!$C$5:$C$50,MATCH(INDEX(NHAP_LIEU!$D$5:$D$10004,MATCH(1,INDEX((NHAP_LIEU!$A$5:$A$10004=($J$2+16-2))*(NHAP_LIEU!$B$5:$B$10004=$A22),0),0)),CAU_HINH_CA!$A$5:$A$50,0))*INDEX(NHAP_LIEU!$E$5:$E$10004,MATCH(1,INDEX((NHAP_LIEU!$A$5:$A$10004=($J$2+16-2))*(NHAP_LIEU!$B$5:$B$10004=$A22),0),0)),0),""))</f>
        <v/>
      </c>
      <c r="Q22" s="51">
        <f>IF(Q11="","",IFERROR(Q11/ROUND(INDEX(CAU_HINH_CA!$C$5:$C$50,MATCH(INDEX(NHAP_LIEU!$D$5:$D$10004,MATCH(1,INDEX((NHAP_LIEU!$A$5:$A$10004=($J$2+17-2))*(NHAP_LIEU!$B$5:$B$10004=$A22),0),0)),CAU_HINH_CA!$A$5:$A$50,0))*INDEX(NHAP_LIEU!$E$5:$E$10004,MATCH(1,INDEX((NHAP_LIEU!$A$5:$A$10004=($J$2+17-2))*(NHAP_LIEU!$B$5:$B$10004=$A22),0),0)),0),""))</f>
        <v/>
      </c>
      <c r="R22" s="51">
        <f>IF(R11="","",IFERROR(R11/ROUND(INDEX(CAU_HINH_CA!$C$5:$C$50,MATCH(INDEX(NHAP_LIEU!$D$5:$D$10004,MATCH(1,INDEX((NHAP_LIEU!$A$5:$A$10004=($J$2+18-2))*(NHAP_LIEU!$B$5:$B$10004=$A22),0),0)),CAU_HINH_CA!$A$5:$A$50,0))*INDEX(NHAP_LIEU!$E$5:$E$10004,MATCH(1,INDEX((NHAP_LIEU!$A$5:$A$10004=($J$2+18-2))*(NHAP_LIEU!$B$5:$B$10004=$A22),0),0)),0),""))</f>
        <v/>
      </c>
      <c r="S22" s="51">
        <f>IF(S11="","",IFERROR(S11/ROUND(INDEX(CAU_HINH_CA!$C$5:$C$50,MATCH(INDEX(NHAP_LIEU!$D$5:$D$10004,MATCH(1,INDEX((NHAP_LIEU!$A$5:$A$10004=($J$2+19-2))*(NHAP_LIEU!$B$5:$B$10004=$A22),0),0)),CAU_HINH_CA!$A$5:$A$50,0))*INDEX(NHAP_LIEU!$E$5:$E$10004,MATCH(1,INDEX((NHAP_LIEU!$A$5:$A$10004=($J$2+19-2))*(NHAP_LIEU!$B$5:$B$10004=$A22),0),0)),0),""))</f>
        <v/>
      </c>
      <c r="T22" s="51">
        <f>IF(T11="","",IFERROR(T11/ROUND(INDEX(CAU_HINH_CA!$C$5:$C$50,MATCH(INDEX(NHAP_LIEU!$D$5:$D$10004,MATCH(1,INDEX((NHAP_LIEU!$A$5:$A$10004=($J$2+20-2))*(NHAP_LIEU!$B$5:$B$10004=$A22),0),0)),CAU_HINH_CA!$A$5:$A$50,0))*INDEX(NHAP_LIEU!$E$5:$E$10004,MATCH(1,INDEX((NHAP_LIEU!$A$5:$A$10004=($J$2+20-2))*(NHAP_LIEU!$B$5:$B$10004=$A22),0),0)),0),""))</f>
        <v/>
      </c>
      <c r="U22" s="51">
        <f>IF(U11="","",IFERROR(U11/ROUND(INDEX(CAU_HINH_CA!$C$5:$C$50,MATCH(INDEX(NHAP_LIEU!$D$5:$D$10004,MATCH(1,INDEX((NHAP_LIEU!$A$5:$A$10004=($J$2+21-2))*(NHAP_LIEU!$B$5:$B$10004=$A22),0),0)),CAU_HINH_CA!$A$5:$A$50,0))*INDEX(NHAP_LIEU!$E$5:$E$10004,MATCH(1,INDEX((NHAP_LIEU!$A$5:$A$10004=($J$2+21-2))*(NHAP_LIEU!$B$5:$B$10004=$A22),0),0)),0),""))</f>
        <v/>
      </c>
      <c r="V22" s="51">
        <f>IF(V11="","",IFERROR(V11/ROUND(INDEX(CAU_HINH_CA!$C$5:$C$50,MATCH(INDEX(NHAP_LIEU!$D$5:$D$10004,MATCH(1,INDEX((NHAP_LIEU!$A$5:$A$10004=($J$2+22-2))*(NHAP_LIEU!$B$5:$B$10004=$A22),0),0)),CAU_HINH_CA!$A$5:$A$50,0))*INDEX(NHAP_LIEU!$E$5:$E$10004,MATCH(1,INDEX((NHAP_LIEU!$A$5:$A$10004=($J$2+22-2))*(NHAP_LIEU!$B$5:$B$10004=$A22),0),0)),0),""))</f>
        <v/>
      </c>
      <c r="W22" s="51">
        <f>IF(W11="","",IFERROR(W11/ROUND(INDEX(CAU_HINH_CA!$C$5:$C$50,MATCH(INDEX(NHAP_LIEU!$D$5:$D$10004,MATCH(1,INDEX((NHAP_LIEU!$A$5:$A$10004=($J$2+23-2))*(NHAP_LIEU!$B$5:$B$10004=$A22),0),0)),CAU_HINH_CA!$A$5:$A$50,0))*INDEX(NHAP_LIEU!$E$5:$E$10004,MATCH(1,INDEX((NHAP_LIEU!$A$5:$A$10004=($J$2+23-2))*(NHAP_LIEU!$B$5:$B$10004=$A22),0),0)),0),""))</f>
        <v/>
      </c>
      <c r="X22" s="51">
        <f>IF(X11="","",IFERROR(X11/ROUND(INDEX(CAU_HINH_CA!$C$5:$C$50,MATCH(INDEX(NHAP_LIEU!$D$5:$D$10004,MATCH(1,INDEX((NHAP_LIEU!$A$5:$A$10004=($J$2+24-2))*(NHAP_LIEU!$B$5:$B$10004=$A22),0),0)),CAU_HINH_CA!$A$5:$A$50,0))*INDEX(NHAP_LIEU!$E$5:$E$10004,MATCH(1,INDEX((NHAP_LIEU!$A$5:$A$10004=($J$2+24-2))*(NHAP_LIEU!$B$5:$B$10004=$A22),0),0)),0),""))</f>
        <v/>
      </c>
      <c r="Y22" s="51">
        <f>IF(Y11="","",IFERROR(Y11/ROUND(INDEX(CAU_HINH_CA!$C$5:$C$50,MATCH(INDEX(NHAP_LIEU!$D$5:$D$10004,MATCH(1,INDEX((NHAP_LIEU!$A$5:$A$10004=($J$2+25-2))*(NHAP_LIEU!$B$5:$B$10004=$A22),0),0)),CAU_HINH_CA!$A$5:$A$50,0))*INDEX(NHAP_LIEU!$E$5:$E$10004,MATCH(1,INDEX((NHAP_LIEU!$A$5:$A$10004=($J$2+25-2))*(NHAP_LIEU!$B$5:$B$10004=$A22),0),0)),0),""))</f>
        <v/>
      </c>
      <c r="Z22" s="51">
        <f>IF(Z11="","",IFERROR(Z11/ROUND(INDEX(CAU_HINH_CA!$C$5:$C$50,MATCH(INDEX(NHAP_LIEU!$D$5:$D$10004,MATCH(1,INDEX((NHAP_LIEU!$A$5:$A$10004=($J$2+26-2))*(NHAP_LIEU!$B$5:$B$10004=$A22),0),0)),CAU_HINH_CA!$A$5:$A$50,0))*INDEX(NHAP_LIEU!$E$5:$E$10004,MATCH(1,INDEX((NHAP_LIEU!$A$5:$A$10004=($J$2+26-2))*(NHAP_LIEU!$B$5:$B$10004=$A22),0),0)),0),""))</f>
        <v/>
      </c>
      <c r="AA22" s="51">
        <f>IF(AA11="","",IFERROR(AA11/ROUND(INDEX(CAU_HINH_CA!$C$5:$C$50,MATCH(INDEX(NHAP_LIEU!$D$5:$D$10004,MATCH(1,INDEX((NHAP_LIEU!$A$5:$A$10004=($J$2+27-2))*(NHAP_LIEU!$B$5:$B$10004=$A22),0),0)),CAU_HINH_CA!$A$5:$A$50,0))*INDEX(NHAP_LIEU!$E$5:$E$10004,MATCH(1,INDEX((NHAP_LIEU!$A$5:$A$10004=($J$2+27-2))*(NHAP_LIEU!$B$5:$B$10004=$A22),0),0)),0),""))</f>
        <v/>
      </c>
      <c r="AB22" s="51">
        <f>IF(AB11="","",IFERROR(AB11/ROUND(INDEX(CAU_HINH_CA!$C$5:$C$50,MATCH(INDEX(NHAP_LIEU!$D$5:$D$10004,MATCH(1,INDEX((NHAP_LIEU!$A$5:$A$10004=($J$2+28-2))*(NHAP_LIEU!$B$5:$B$10004=$A22),0),0)),CAU_HINH_CA!$A$5:$A$50,0))*INDEX(NHAP_LIEU!$E$5:$E$10004,MATCH(1,INDEX((NHAP_LIEU!$A$5:$A$10004=($J$2+28-2))*(NHAP_LIEU!$B$5:$B$10004=$A22),0),0)),0),""))</f>
        <v/>
      </c>
      <c r="AC22" s="51">
        <f>IF(AC11="","",IFERROR(AC11/ROUND(INDEX(CAU_HINH_CA!$C$5:$C$50,MATCH(INDEX(NHAP_LIEU!$D$5:$D$10004,MATCH(1,INDEX((NHAP_LIEU!$A$5:$A$10004=($J$2+29-2))*(NHAP_LIEU!$B$5:$B$10004=$A22),0),0)),CAU_HINH_CA!$A$5:$A$50,0))*INDEX(NHAP_LIEU!$E$5:$E$10004,MATCH(1,INDEX((NHAP_LIEU!$A$5:$A$10004=($J$2+29-2))*(NHAP_LIEU!$B$5:$B$10004=$A22),0),0)),0),""))</f>
        <v/>
      </c>
      <c r="AD22" s="51">
        <f>IF(AD11="","",IFERROR(AD11/ROUND(INDEX(CAU_HINH_CA!$C$5:$C$50,MATCH(INDEX(NHAP_LIEU!$D$5:$D$10004,MATCH(1,INDEX((NHAP_LIEU!$A$5:$A$10004=($J$2+30-2))*(NHAP_LIEU!$B$5:$B$10004=$A22),0),0)),CAU_HINH_CA!$A$5:$A$50,0))*INDEX(NHAP_LIEU!$E$5:$E$10004,MATCH(1,INDEX((NHAP_LIEU!$A$5:$A$10004=($J$2+30-2))*(NHAP_LIEU!$B$5:$B$10004=$A22),0),0)),0),""))</f>
        <v/>
      </c>
      <c r="AE22" s="51">
        <f>IF(AE11="","",IFERROR(AE11/ROUND(INDEX(CAU_HINH_CA!$C$5:$C$50,MATCH(INDEX(NHAP_LIEU!$D$5:$D$10004,MATCH(1,INDEX((NHAP_LIEU!$A$5:$A$10004=($J$2+31-2))*(NHAP_LIEU!$B$5:$B$10004=$A22),0),0)),CAU_HINH_CA!$A$5:$A$50,0))*INDEX(NHAP_LIEU!$E$5:$E$10004,MATCH(1,INDEX((NHAP_LIEU!$A$5:$A$10004=($J$2+31-2))*(NHAP_LIEU!$B$5:$B$10004=$A22),0),0)),0),""))</f>
        <v/>
      </c>
      <c r="AF22" s="51">
        <f>IF(AF11="","",IFERROR(AF11/ROUND(INDEX(CAU_HINH_CA!$C$5:$C$50,MATCH(INDEX(NHAP_LIEU!$D$5:$D$10004,MATCH(1,INDEX((NHAP_LIEU!$A$5:$A$10004=($J$2+32-2))*(NHAP_LIEU!$B$5:$B$10004=$A22),0),0)),CAU_HINH_CA!$A$5:$A$50,0))*INDEX(NHAP_LIEU!$E$5:$E$10004,MATCH(1,INDEX((NHAP_LIEU!$A$5:$A$10004=($J$2+32-2))*(NHAP_LIEU!$B$5:$B$10004=$A22),0),0)),0),""))</f>
        <v/>
      </c>
    </row>
    <row r="24">
      <c r="A24" s="44" t="inlineStr">
        <is>
          <t>3. LÝ DO KHÔNG ĐẠT TRONG THÁNG</t>
        </is>
      </c>
    </row>
    <row r="25">
      <c r="A25" s="9" t="inlineStr">
        <is>
          <t>LÝ DO</t>
        </is>
      </c>
      <c r="B25" s="52" t="n"/>
      <c r="C25" s="53" t="n"/>
      <c r="D25" s="9" t="inlineStr">
        <is>
          <t>SỐ LẦN</t>
        </is>
      </c>
      <c r="E25" s="52" t="n"/>
      <c r="F25" s="53" t="n"/>
      <c r="G25" s="9" t="inlineStr">
        <is>
          <t>PHÚT DỪNG MÁY</t>
        </is>
      </c>
      <c r="H25" s="52" t="n"/>
      <c r="I25" s="53" t="n"/>
      <c r="J25" s="9" t="inlineStr">
        <is>
          <t>SẢN LƯỢNG THIẾU</t>
        </is>
      </c>
      <c r="K25" s="52" t="n"/>
      <c r="L25" s="53" t="n"/>
    </row>
    <row r="26">
      <c r="A26" s="47">
        <f>IF(DANH_SACH_LY_DO!A5="","",DANH_SACH_LY_DO!A5)</f>
        <v/>
      </c>
      <c r="B26" s="52" t="n"/>
      <c r="C26" s="53" t="n"/>
      <c r="D26" s="18">
        <f>IF(A26="","",SUMPRODUCT((NHAP_LIEU!$AI$5:$AI$10004=A26)*(NHAP_LIEU!$A$5:$A$10004&gt;=$J$2)*(NHAP_LIEU!$A$5:$A$10004&lt;DATE(YEAR($J$2),MONTH($J$2)+1,1))))</f>
        <v/>
      </c>
      <c r="E26" s="52" t="n"/>
      <c r="F26" s="53" t="n"/>
      <c r="G26" s="18">
        <f>IF(A26="","",SUMPRODUCT((NHAP_LIEU!$AI$5:$AI$10004=A26)*(NHAP_LIEU!$A$5:$A$10004&gt;=$J$2)*(NHAP_LIEU!$A$5:$A$10004&lt;DATE(YEAR($J$2),MONTH($J$2)+1,1))*NHAP_LIEU!$AJ$5:$AJ$10004))</f>
        <v/>
      </c>
      <c r="H26" s="52" t="n"/>
      <c r="I26" s="53" t="n"/>
      <c r="J26" s="18">
        <f>IF(A26="","",SUMPRODUCT((NHAP_LIEU!$AI$5:$AI$10004=A26)*(NHAP_LIEU!$A$5:$A$10004&gt;=$J$2)*(NHAP_LIEU!$A$5:$A$10004&lt;DATE(YEAR($J$2),MONTH($J$2)+1,1))*ROUND(SUMIF(CAU_HINH_CA!$A$5:$A$50,NHAP_LIEU!$D$5:$D$10004,CAU_HINH_CA!$C$5:$C$50)*NHAP_LIEU!$E$5:$E$10004,0))-SUMPRODUCT((NHAP_LIEU!$AI$5:$AI$10004=A26)*(NHAP_LIEU!$A$5:$A$10004&gt;=$J$2)*(NHAP_LIEU!$A$5:$A$10004&lt;DATE(YEAR($J$2),MONTH($J$2)+1,1))*NHAP_LIEU!$H$5:$S$10004))</f>
        <v/>
      </c>
      <c r="K26" s="52" t="n"/>
      <c r="L26" s="53" t="n"/>
    </row>
    <row r="27">
      <c r="A27" s="47">
        <f>IF(DANH_SACH_LY_DO!A6="","",DANH_SACH_LY_DO!A6)</f>
        <v/>
      </c>
      <c r="B27" s="52" t="n"/>
      <c r="C27" s="53" t="n"/>
      <c r="D27" s="18">
        <f>IF(A27="","",SUMPRODUCT((NHAP_LIEU!$AI$5:$AI$10004=A27)*(NHAP_LIEU!$A$5:$A$10004&gt;=$J$2)*(NHAP_LIEU!$A$5:$A$10004&lt;DATE(YEAR($J$2),MONTH($J$2)+1,1))))</f>
        <v/>
      </c>
      <c r="E27" s="52" t="n"/>
      <c r="F27" s="53" t="n"/>
      <c r="G27" s="18">
        <f>IF(A27="","",SUMPRODUCT((NHAP_LIEU!$AI$5:$AI$10004=A27)*(NHAP_LIEU!$A$5:$A$10004&gt;=$J$2)*(NHAP_LIEU!$A$5:$A$10004&lt;DATE(YEAR($J$2),MONTH($J$2)+1,1))*NHAP_LIEU!$AJ$5:$AJ$10004))</f>
        <v/>
      </c>
      <c r="H27" s="52" t="n"/>
      <c r="I27" s="53" t="n"/>
      <c r="J27" s="18">
        <f>IF(A27="","",SUMPRODUCT((NHAP_LIEU!$AI$5:$AI$10004=A27)*(NHAP_LIEU!$A$5:$A$10004&gt;=$J$2)*(NHAP_LIEU!$A$5:$A$10004&lt;DATE(YEAR($J$2),MONTH($J$2)+1,1))*ROUND(SUMIF(CAU_HINH_CA!$A$5:$A$50,NHAP_LIEU!$D$5:$D$10004,CAU_HINH_CA!$C$5:$C$50)*NHAP_LIEU!$E$5:$E$10004,0))-SUMPRODUCT((NHAP_LIEU!$AI$5:$AI$10004=A27)*(NHAP_LIEU!$A$5:$A$10004&gt;=$J$2)*(NHAP_LIEU!$A$5:$A$10004&lt;DATE(YEAR($J$2),MONTH($J$2)+1,1))*NHAP_LIEU!$H$5:$S$10004))</f>
        <v/>
      </c>
      <c r="K27" s="52" t="n"/>
      <c r="L27" s="53" t="n"/>
    </row>
    <row r="28">
      <c r="A28" s="47">
        <f>IF(DANH_SACH_LY_DO!A7="","",DANH_SACH_LY_DO!A7)</f>
        <v/>
      </c>
      <c r="B28" s="52" t="n"/>
      <c r="C28" s="53" t="n"/>
      <c r="D28" s="18">
        <f>IF(A28="","",SUMPRODUCT((NHAP_LIEU!$AI$5:$AI$10004=A28)*(NHAP_LIEU!$A$5:$A$10004&gt;=$J$2)*(NHAP_LIEU!$A$5:$A$10004&lt;DATE(YEAR($J$2),MONTH($J$2)+1,1))))</f>
        <v/>
      </c>
      <c r="E28" s="52" t="n"/>
      <c r="F28" s="53" t="n"/>
      <c r="G28" s="18">
        <f>IF(A28="","",SUMPRODUCT((NHAP_LIEU!$AI$5:$AI$10004=A28)*(NHAP_LIEU!$A$5:$A$10004&gt;=$J$2)*(NHAP_LIEU!$A$5:$A$10004&lt;DATE(YEAR($J$2),MONTH($J$2)+1,1))*NHAP_LIEU!$AJ$5:$AJ$10004))</f>
        <v/>
      </c>
      <c r="H28" s="52" t="n"/>
      <c r="I28" s="53" t="n"/>
      <c r="J28" s="18">
        <f>IF(A28="","",SUMPRODUCT((NHAP_LIEU!$AI$5:$AI$10004=A28)*(NHAP_LIEU!$A$5:$A$10004&gt;=$J$2)*(NHAP_LIEU!$A$5:$A$10004&lt;DATE(YEAR($J$2),MONTH($J$2)+1,1))*ROUND(SUMIF(CAU_HINH_CA!$A$5:$A$50,NHAP_LIEU!$D$5:$D$10004,CAU_HINH_CA!$C$5:$C$50)*NHAP_LIEU!$E$5:$E$10004,0))-SUMPRODUCT((NHAP_LIEU!$AI$5:$AI$10004=A28)*(NHAP_LIEU!$A$5:$A$10004&gt;=$J$2)*(NHAP_LIEU!$A$5:$A$10004&lt;DATE(YEAR($J$2),MONTH($J$2)+1,1))*NHAP_LIEU!$H$5:$S$10004))</f>
        <v/>
      </c>
      <c r="K28" s="52" t="n"/>
      <c r="L28" s="53" t="n"/>
    </row>
    <row r="29">
      <c r="A29" s="47">
        <f>IF(DANH_SACH_LY_DO!A8="","",DANH_SACH_LY_DO!A8)</f>
        <v/>
      </c>
      <c r="B29" s="52" t="n"/>
      <c r="C29" s="53" t="n"/>
      <c r="D29" s="18">
        <f>IF(A29="","",SUMPRODUCT((NHAP_LIEU!$AI$5:$AI$10004=A29)*(NHAP_LIEU!$A$5:$A$10004&gt;=$J$2)*(NHAP_LIEU!$A$5:$A$10004&lt;DATE(YEAR($J$2),MONTH($J$2)+1,1))))</f>
        <v/>
      </c>
      <c r="E29" s="52" t="n"/>
      <c r="F29" s="53" t="n"/>
      <c r="G29" s="18">
        <f>IF(A29="","",SUMPRODUCT((NHAP_LIEU!$AI$5:$AI$10004=A29)*(NHAP_LIEU!$A$5:$A$10004&gt;=$J$2)*(NHAP_LIEU!$A$5:$A$10004&lt;DATE(YEAR($J$2),MONTH($J$2)+1,1))*NHAP_LIEU!$AJ$5:$AJ$10004))</f>
        <v/>
      </c>
      <c r="H29" s="52" t="n"/>
      <c r="I29" s="53" t="n"/>
      <c r="J29" s="18">
        <f>IF(A29="","",SUMPRODUCT((NHAP_LIEU!$AI$5:$AI$10004=A29)*(NHAP_LIEU!$A$5:$A$10004&gt;=$J$2)*(NHAP_LIEU!$A$5:$A$10004&lt;DATE(YEAR($J$2),MONTH($J$2)+1,1))*ROUND(SUMIF(CAU_HINH_CA!$A$5:$A$50,NHAP_LIEU!$D$5:$D$10004,CAU_HINH_CA!$C$5:$C$50)*NHAP_LIEU!$E$5:$E$10004,0))-SUMPRODUCT((NHAP_LIEU!$AI$5:$AI$10004=A29)*(NHAP_LIEU!$A$5:$A$10004&gt;=$J$2)*(NHAP_LIEU!$A$5:$A$10004&lt;DATE(YEAR($J$2),MONTH($J$2)+1,1))*NHAP_LIEU!$H$5:$S$10004))</f>
        <v/>
      </c>
      <c r="K29" s="52" t="n"/>
      <c r="L29" s="53" t="n"/>
    </row>
    <row r="30">
      <c r="A30" s="47">
        <f>IF(DANH_SACH_LY_DO!A9="","",DANH_SACH_LY_DO!A9)</f>
        <v/>
      </c>
      <c r="B30" s="52" t="n"/>
      <c r="C30" s="53" t="n"/>
      <c r="D30" s="18">
        <f>IF(A30="","",SUMPRODUCT((NHAP_LIEU!$AI$5:$AI$10004=A30)*(NHAP_LIEU!$A$5:$A$10004&gt;=$J$2)*(NHAP_LIEU!$A$5:$A$10004&lt;DATE(YEAR($J$2),MONTH($J$2)+1,1))))</f>
        <v/>
      </c>
      <c r="E30" s="52" t="n"/>
      <c r="F30" s="53" t="n"/>
      <c r="G30" s="18">
        <f>IF(A30="","",SUMPRODUCT((NHAP_LIEU!$AI$5:$AI$10004=A30)*(NHAP_LIEU!$A$5:$A$10004&gt;=$J$2)*(NHAP_LIEU!$A$5:$A$10004&lt;DATE(YEAR($J$2),MONTH($J$2)+1,1))*NHAP_LIEU!$AJ$5:$AJ$10004))</f>
        <v/>
      </c>
      <c r="H30" s="52" t="n"/>
      <c r="I30" s="53" t="n"/>
      <c r="J30" s="18">
        <f>IF(A30="","",SUMPRODUCT((NHAP_LIEU!$AI$5:$AI$10004=A30)*(NHAP_LIEU!$A$5:$A$10004&gt;=$J$2)*(NHAP_LIEU!$A$5:$A$10004&lt;DATE(YEAR($J$2),MONTH($J$2)+1,1))*ROUND(SUMIF(CAU_HINH_CA!$A$5:$A$50,NHAP_LIEU!$D$5:$D$10004,CAU_HINH_CA!$C$5:$C$50)*NHAP_LIEU!$E$5:$E$10004,0))-SUMPRODUCT((NHAP_LIEU!$AI$5:$AI$10004=A30)*(NHAP_LIEU!$A$5:$A$10004&gt;=$J$2)*(NHAP_LIEU!$A$5:$A$10004&lt;DATE(YEAR($J$2),MONTH($J$2)+1,1))*NHAP_LIEU!$H$5:$S$10004))</f>
        <v/>
      </c>
      <c r="K30" s="52" t="n"/>
      <c r="L30" s="53" t="n"/>
    </row>
    <row r="31">
      <c r="A31" s="47">
        <f>IF(DANH_SACH_LY_DO!A10="","",DANH_SACH_LY_DO!A10)</f>
        <v/>
      </c>
      <c r="B31" s="52" t="n"/>
      <c r="C31" s="53" t="n"/>
      <c r="D31" s="18">
        <f>IF(A31="","",SUMPRODUCT((NHAP_LIEU!$AI$5:$AI$10004=A31)*(NHAP_LIEU!$A$5:$A$10004&gt;=$J$2)*(NHAP_LIEU!$A$5:$A$10004&lt;DATE(YEAR($J$2),MONTH($J$2)+1,1))))</f>
        <v/>
      </c>
      <c r="E31" s="52" t="n"/>
      <c r="F31" s="53" t="n"/>
      <c r="G31" s="18">
        <f>IF(A31="","",SUMPRODUCT((NHAP_LIEU!$AI$5:$AI$10004=A31)*(NHAP_LIEU!$A$5:$A$10004&gt;=$J$2)*(NHAP_LIEU!$A$5:$A$10004&lt;DATE(YEAR($J$2),MONTH($J$2)+1,1))*NHAP_LIEU!$AJ$5:$AJ$10004))</f>
        <v/>
      </c>
      <c r="H31" s="52" t="n"/>
      <c r="I31" s="53" t="n"/>
      <c r="J31" s="18">
        <f>IF(A31="","",SUMPRODUCT((NHAP_LIEU!$AI$5:$AI$10004=A31)*(NHAP_LIEU!$A$5:$A$10004&gt;=$J$2)*(NHAP_LIEU!$A$5:$A$10004&lt;DATE(YEAR($J$2),MONTH($J$2)+1,1))*ROUND(SUMIF(CAU_HINH_CA!$A$5:$A$50,NHAP_LIEU!$D$5:$D$10004,CAU_HINH_CA!$C$5:$C$50)*NHAP_LIEU!$E$5:$E$10004,0))-SUMPRODUCT((NHAP_LIEU!$AI$5:$AI$10004=A31)*(NHAP_LIEU!$A$5:$A$10004&gt;=$J$2)*(NHAP_LIEU!$A$5:$A$10004&lt;DATE(YEAR($J$2),MONTH($J$2)+1,1))*NHAP_LIEU!$H$5:$S$10004))</f>
        <v/>
      </c>
      <c r="K31" s="52" t="n"/>
      <c r="L31" s="53" t="n"/>
    </row>
    <row r="32">
      <c r="A32" s="47">
        <f>IF(DANH_SACH_LY_DO!A11="","",DANH_SACH_LY_DO!A11)</f>
        <v/>
      </c>
      <c r="B32" s="52" t="n"/>
      <c r="C32" s="53" t="n"/>
      <c r="D32" s="18">
        <f>IF(A32="","",SUMPRODUCT((NHAP_LIEU!$AI$5:$AI$10004=A32)*(NHAP_LIEU!$A$5:$A$10004&gt;=$J$2)*(NHAP_LIEU!$A$5:$A$10004&lt;DATE(YEAR($J$2),MONTH($J$2)+1,1))))</f>
        <v/>
      </c>
      <c r="E32" s="52" t="n"/>
      <c r="F32" s="53" t="n"/>
      <c r="G32" s="18">
        <f>IF(A32="","",SUMPRODUCT((NHAP_LIEU!$AI$5:$AI$10004=A32)*(NHAP_LIEU!$A$5:$A$10004&gt;=$J$2)*(NHAP_LIEU!$A$5:$A$10004&lt;DATE(YEAR($J$2),MONTH($J$2)+1,1))*NHAP_LIEU!$AJ$5:$AJ$10004))</f>
        <v/>
      </c>
      <c r="H32" s="52" t="n"/>
      <c r="I32" s="53" t="n"/>
      <c r="J32" s="18">
        <f>IF(A32="","",SUMPRODUCT((NHAP_LIEU!$AI$5:$AI$10004=A32)*(NHAP_LIEU!$A$5:$A$10004&gt;=$J$2)*(NHAP_LIEU!$A$5:$A$10004&lt;DATE(YEAR($J$2),MONTH($J$2)+1,1))*ROUND(SUMIF(CAU_HINH_CA!$A$5:$A$50,NHAP_LIEU!$D$5:$D$10004,CAU_HINH_CA!$C$5:$C$50)*NHAP_LIEU!$E$5:$E$10004,0))-SUMPRODUCT((NHAP_LIEU!$AI$5:$AI$10004=A32)*(NHAP_LIEU!$A$5:$A$10004&gt;=$J$2)*(NHAP_LIEU!$A$5:$A$10004&lt;DATE(YEAR($J$2),MONTH($J$2)+1,1))*NHAP_LIEU!$H$5:$S$10004))</f>
        <v/>
      </c>
      <c r="K32" s="52" t="n"/>
      <c r="L32" s="53" t="n"/>
    </row>
    <row r="33">
      <c r="A33" s="47">
        <f>IF(DANH_SACH_LY_DO!A12="","",DANH_SACH_LY_DO!A12)</f>
        <v/>
      </c>
      <c r="B33" s="52" t="n"/>
      <c r="C33" s="53" t="n"/>
      <c r="D33" s="18">
        <f>IF(A33="","",SUMPRODUCT((NHAP_LIEU!$AI$5:$AI$10004=A33)*(NHAP_LIEU!$A$5:$A$10004&gt;=$J$2)*(NHAP_LIEU!$A$5:$A$10004&lt;DATE(YEAR($J$2),MONTH($J$2)+1,1))))</f>
        <v/>
      </c>
      <c r="E33" s="52" t="n"/>
      <c r="F33" s="53" t="n"/>
      <c r="G33" s="18">
        <f>IF(A33="","",SUMPRODUCT((NHAP_LIEU!$AI$5:$AI$10004=A33)*(NHAP_LIEU!$A$5:$A$10004&gt;=$J$2)*(NHAP_LIEU!$A$5:$A$10004&lt;DATE(YEAR($J$2),MONTH($J$2)+1,1))*NHAP_LIEU!$AJ$5:$AJ$10004))</f>
        <v/>
      </c>
      <c r="H33" s="52" t="n"/>
      <c r="I33" s="53" t="n"/>
      <c r="J33" s="18">
        <f>IF(A33="","",SUMPRODUCT((NHAP_LIEU!$AI$5:$AI$10004=A33)*(NHAP_LIEU!$A$5:$A$10004&gt;=$J$2)*(NHAP_LIEU!$A$5:$A$10004&lt;DATE(YEAR($J$2),MONTH($J$2)+1,1))*ROUND(SUMIF(CAU_HINH_CA!$A$5:$A$50,NHAP_LIEU!$D$5:$D$10004,CAU_HINH_CA!$C$5:$C$50)*NHAP_LIEU!$E$5:$E$10004,0))-SUMPRODUCT((NHAP_LIEU!$AI$5:$AI$10004=A33)*(NHAP_LIEU!$A$5:$A$10004&gt;=$J$2)*(NHAP_LIEU!$A$5:$A$10004&lt;DATE(YEAR($J$2),MONTH($J$2)+1,1))*NHAP_LIEU!$H$5:$S$10004))</f>
        <v/>
      </c>
      <c r="K33" s="52" t="n"/>
      <c r="L33" s="53" t="n"/>
    </row>
    <row r="35">
      <c r="A35" s="44" t="inlineStr">
        <is>
          <t>4. NĂNG SUẤT &amp; HÀNG LỖI THEO CHUYỀN</t>
        </is>
      </c>
    </row>
    <row r="36">
      <c r="A36" s="9" t="inlineStr">
        <is>
          <t>CHUYỀN</t>
        </is>
      </c>
      <c r="B36" s="52" t="n"/>
      <c r="C36" s="53" t="n"/>
      <c r="D36" s="9" t="inlineStr">
        <is>
          <t>TỔNG SẢN LƯỢNG</t>
        </is>
      </c>
      <c r="E36" s="52" t="n"/>
      <c r="F36" s="53" t="n"/>
      <c r="G36" s="9" t="inlineStr">
        <is>
          <t>CÔNG-GIỜ</t>
        </is>
      </c>
      <c r="H36" s="52" t="n"/>
      <c r="I36" s="53" t="n"/>
      <c r="J36" s="9" t="inlineStr">
        <is>
          <t>SP / NGƯỜI / GIỜ</t>
        </is>
      </c>
      <c r="K36" s="52" t="n"/>
      <c r="L36" s="53" t="n"/>
      <c r="M36" s="9" t="inlineStr">
        <is>
          <t>SỐ LỖI</t>
        </is>
      </c>
      <c r="N36" s="52" t="n"/>
      <c r="O36" s="53" t="n"/>
      <c r="P36" s="9" t="inlineStr">
        <is>
          <t>TỶ LỆ LỖI</t>
        </is>
      </c>
      <c r="Q36" s="52" t="n"/>
      <c r="R36" s="53" t="n"/>
    </row>
    <row r="37">
      <c r="A37" s="47">
        <f>A6</f>
        <v/>
      </c>
      <c r="B37" s="52" t="n"/>
      <c r="C37" s="53" t="n"/>
      <c r="D37" s="18">
        <f>IF(A37="","",AG6)</f>
        <v/>
      </c>
      <c r="E37" s="52" t="n"/>
      <c r="F37" s="53" t="n"/>
      <c r="G37" s="18">
        <f>IF(A37="","",SUMPRODUCT((NHAP_LIEU!$B$5:$B$10004=A37)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37" s="52" t="n"/>
      <c r="I37" s="53" t="n"/>
      <c r="J37" s="24">
        <f>IF(OR(A37="",N(G37)=0),"",D37/G37)</f>
        <v/>
      </c>
      <c r="K37" s="52" t="n"/>
      <c r="L37" s="53" t="n"/>
      <c r="M37" s="18">
        <f>IF(A37="","",SUMIFS(HANG_LOI!$F$5:$F$10004,HANG_LOI!$C$5:$C$10004,A37,HANG_LOI!$A$5:$A$10004,"&gt;="&amp;$J$2,HANG_LOI!$A$5:$A$10004,"&lt;"&amp;DATE(YEAR($J$2),MONTH($J$2)+1,1)))</f>
        <v/>
      </c>
      <c r="N37" s="52" t="n"/>
      <c r="O37" s="53" t="n"/>
      <c r="P37" s="25">
        <f>IF(OR(A37="",N(D37)=0),"",M37/D37)</f>
        <v/>
      </c>
      <c r="Q37" s="52" t="n"/>
      <c r="R37" s="53" t="n"/>
    </row>
    <row r="38">
      <c r="A38" s="47">
        <f>A7</f>
        <v/>
      </c>
      <c r="B38" s="52" t="n"/>
      <c r="C38" s="53" t="n"/>
      <c r="D38" s="18">
        <f>IF(A38="","",AG7)</f>
        <v/>
      </c>
      <c r="E38" s="52" t="n"/>
      <c r="F38" s="53" t="n"/>
      <c r="G38" s="18">
        <f>IF(A38="","",SUMPRODUCT((NHAP_LIEU!$B$5:$B$10004=A38)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38" s="52" t="n"/>
      <c r="I38" s="53" t="n"/>
      <c r="J38" s="24">
        <f>IF(OR(A38="",N(G38)=0),"",D38/G38)</f>
        <v/>
      </c>
      <c r="K38" s="52" t="n"/>
      <c r="L38" s="53" t="n"/>
      <c r="M38" s="18">
        <f>IF(A38="","",SUMIFS(HANG_LOI!$F$5:$F$10004,HANG_LOI!$C$5:$C$10004,A38,HANG_LOI!$A$5:$A$10004,"&gt;="&amp;$J$2,HANG_LOI!$A$5:$A$10004,"&lt;"&amp;DATE(YEAR($J$2),MONTH($J$2)+1,1)))</f>
        <v/>
      </c>
      <c r="N38" s="52" t="n"/>
      <c r="O38" s="53" t="n"/>
      <c r="P38" s="25">
        <f>IF(OR(A38="",N(D38)=0),"",M38/D38)</f>
        <v/>
      </c>
      <c r="Q38" s="52" t="n"/>
      <c r="R38" s="53" t="n"/>
    </row>
    <row r="39">
      <c r="A39" s="47">
        <f>A8</f>
        <v/>
      </c>
      <c r="B39" s="52" t="n"/>
      <c r="C39" s="53" t="n"/>
      <c r="D39" s="18">
        <f>IF(A39="","",AG8)</f>
        <v/>
      </c>
      <c r="E39" s="52" t="n"/>
      <c r="F39" s="53" t="n"/>
      <c r="G39" s="18">
        <f>IF(A39="","",SUMPRODUCT((NHAP_LIEU!$B$5:$B$10004=A39)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39" s="52" t="n"/>
      <c r="I39" s="53" t="n"/>
      <c r="J39" s="24">
        <f>IF(OR(A39="",N(G39)=0),"",D39/G39)</f>
        <v/>
      </c>
      <c r="K39" s="52" t="n"/>
      <c r="L39" s="53" t="n"/>
      <c r="M39" s="18">
        <f>IF(A39="","",SUMIFS(HANG_LOI!$F$5:$F$10004,HANG_LOI!$C$5:$C$10004,A39,HANG_LOI!$A$5:$A$10004,"&gt;="&amp;$J$2,HANG_LOI!$A$5:$A$10004,"&lt;"&amp;DATE(YEAR($J$2),MONTH($J$2)+1,1)))</f>
        <v/>
      </c>
      <c r="N39" s="52" t="n"/>
      <c r="O39" s="53" t="n"/>
      <c r="P39" s="25">
        <f>IF(OR(A39="",N(D39)=0),"",M39/D39)</f>
        <v/>
      </c>
      <c r="Q39" s="52" t="n"/>
      <c r="R39" s="53" t="n"/>
    </row>
    <row r="40">
      <c r="A40" s="47">
        <f>A9</f>
        <v/>
      </c>
      <c r="B40" s="52" t="n"/>
      <c r="C40" s="53" t="n"/>
      <c r="D40" s="18">
        <f>IF(A40="","",AG9)</f>
        <v/>
      </c>
      <c r="E40" s="52" t="n"/>
      <c r="F40" s="53" t="n"/>
      <c r="G40" s="18">
        <f>IF(A40="","",SUMPRODUCT((NHAP_LIEU!$B$5:$B$10004=A40)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40" s="52" t="n"/>
      <c r="I40" s="53" t="n"/>
      <c r="J40" s="24">
        <f>IF(OR(A40="",N(G40)=0),"",D40/G40)</f>
        <v/>
      </c>
      <c r="K40" s="52" t="n"/>
      <c r="L40" s="53" t="n"/>
      <c r="M40" s="18">
        <f>IF(A40="","",SUMIFS(HANG_LOI!$F$5:$F$10004,HANG_LOI!$C$5:$C$10004,A40,HANG_LOI!$A$5:$A$10004,"&gt;="&amp;$J$2,HANG_LOI!$A$5:$A$10004,"&lt;"&amp;DATE(YEAR($J$2),MONTH($J$2)+1,1)))</f>
        <v/>
      </c>
      <c r="N40" s="52" t="n"/>
      <c r="O40" s="53" t="n"/>
      <c r="P40" s="25">
        <f>IF(OR(A40="",N(D40)=0),"",M40/D40)</f>
        <v/>
      </c>
      <c r="Q40" s="52" t="n"/>
      <c r="R40" s="53" t="n"/>
    </row>
    <row r="41">
      <c r="A41" s="47">
        <f>A10</f>
        <v/>
      </c>
      <c r="B41" s="52" t="n"/>
      <c r="C41" s="53" t="n"/>
      <c r="D41" s="18">
        <f>IF(A41="","",AG10)</f>
        <v/>
      </c>
      <c r="E41" s="52" t="n"/>
      <c r="F41" s="53" t="n"/>
      <c r="G41" s="18">
        <f>IF(A41="","",SUMPRODUCT((NHAP_LIEU!$B$5:$B$10004=A41)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41" s="52" t="n"/>
      <c r="I41" s="53" t="n"/>
      <c r="J41" s="24">
        <f>IF(OR(A41="",N(G41)=0),"",D41/G41)</f>
        <v/>
      </c>
      <c r="K41" s="52" t="n"/>
      <c r="L41" s="53" t="n"/>
      <c r="M41" s="18">
        <f>IF(A41="","",SUMIFS(HANG_LOI!$F$5:$F$10004,HANG_LOI!$C$5:$C$10004,A41,HANG_LOI!$A$5:$A$10004,"&gt;="&amp;$J$2,HANG_LOI!$A$5:$A$10004,"&lt;"&amp;DATE(YEAR($J$2),MONTH($J$2)+1,1)))</f>
        <v/>
      </c>
      <c r="N41" s="52" t="n"/>
      <c r="O41" s="53" t="n"/>
      <c r="P41" s="25">
        <f>IF(OR(A41="",N(D41)=0),"",M41/D41)</f>
        <v/>
      </c>
      <c r="Q41" s="52" t="n"/>
      <c r="R41" s="53" t="n"/>
    </row>
    <row r="42">
      <c r="A42" s="47">
        <f>A11</f>
        <v/>
      </c>
      <c r="B42" s="52" t="n"/>
      <c r="C42" s="53" t="n"/>
      <c r="D42" s="18">
        <f>IF(A42="","",AG11)</f>
        <v/>
      </c>
      <c r="E42" s="52" t="n"/>
      <c r="F42" s="53" t="n"/>
      <c r="G42" s="18">
        <f>IF(A42="","",SUMPRODUCT((NHAP_LIEU!$B$5:$B$10004=A42)*(NHAP_LIEU!$A$5:$A$10004&gt;=$J$2)*(NHAP_LIEU!$A$5:$A$10004&lt;DATE(YEAR($J$2),MONTH($J$2)+1,1))*NHAP_LIEU!$AG$5:$AG$10004*((NHAP_LIEU!$H$5:$H$10004&lt;&gt;"")+(NHAP_LIEU!$I$5:$I$10004&lt;&gt;"")+(NHAP_LIEU!$J$5:$J$10004&lt;&gt;"")+(NHAP_LIEU!$K$5:$K$10004&lt;&gt;"")+(NHAP_LIEU!$L$5:$L$10004&lt;&gt;"")+(NHAP_LIEU!$M$5:$M$10004&lt;&gt;"")+(NHAP_LIEU!$N$5:$N$10004&lt;&gt;"")+(NHAP_LIEU!$O$5:$O$10004&lt;&gt;"")+(NHAP_LIEU!$P$5:$P$10004&lt;&gt;"")+(NHAP_LIEU!$Q$5:$Q$10004&lt;&gt;"")+(NHAP_LIEU!$R$5:$R$10004&lt;&gt;"")+(NHAP_LIEU!$S$5:$S$10004&lt;&gt;""))))</f>
        <v/>
      </c>
      <c r="H42" s="52" t="n"/>
      <c r="I42" s="53" t="n"/>
      <c r="J42" s="24">
        <f>IF(OR(A42="",N(G42)=0),"",D42/G42)</f>
        <v/>
      </c>
      <c r="K42" s="52" t="n"/>
      <c r="L42" s="53" t="n"/>
      <c r="M42" s="18">
        <f>IF(A42="","",SUMIFS(HANG_LOI!$F$5:$F$10004,HANG_LOI!$C$5:$C$10004,A42,HANG_LOI!$A$5:$A$10004,"&gt;="&amp;$J$2,HANG_LOI!$A$5:$A$10004,"&lt;"&amp;DATE(YEAR($J$2),MONTH($J$2)+1,1)))</f>
        <v/>
      </c>
      <c r="N42" s="52" t="n"/>
      <c r="O42" s="53" t="n"/>
      <c r="P42" s="25">
        <f>IF(OR(A42="",N(D42)=0),"",M42/D42)</f>
        <v/>
      </c>
      <c r="Q42" s="52" t="n"/>
      <c r="R42" s="53" t="n"/>
    </row>
  </sheetData>
  <mergeCells count="81">
    <mergeCell ref="G38:I38"/>
    <mergeCell ref="A37:C37"/>
    <mergeCell ref="P36:R36"/>
    <mergeCell ref="J27:L27"/>
    <mergeCell ref="M40:O40"/>
    <mergeCell ref="A26:C26"/>
    <mergeCell ref="J25:L25"/>
    <mergeCell ref="D28:F28"/>
    <mergeCell ref="D37:F37"/>
    <mergeCell ref="M41:O41"/>
    <mergeCell ref="P37:R37"/>
    <mergeCell ref="G26:I26"/>
    <mergeCell ref="D30:F30"/>
    <mergeCell ref="D39:F39"/>
    <mergeCell ref="D29:F29"/>
    <mergeCell ref="J39:L39"/>
    <mergeCell ref="P38:R38"/>
    <mergeCell ref="J29:L29"/>
    <mergeCell ref="J38:L38"/>
    <mergeCell ref="G36:I36"/>
    <mergeCell ref="G42:I42"/>
    <mergeCell ref="M39:O39"/>
    <mergeCell ref="P40:R40"/>
    <mergeCell ref="J40:L40"/>
    <mergeCell ref="D27:F27"/>
    <mergeCell ref="G28:I28"/>
    <mergeCell ref="D41:F41"/>
    <mergeCell ref="G37:I37"/>
    <mergeCell ref="J26:L26"/>
    <mergeCell ref="G30:I30"/>
    <mergeCell ref="J41:L41"/>
    <mergeCell ref="M37:O37"/>
    <mergeCell ref="A32:C32"/>
    <mergeCell ref="A29:C29"/>
    <mergeCell ref="D25:F25"/>
    <mergeCell ref="A38:C38"/>
    <mergeCell ref="G32:I32"/>
    <mergeCell ref="J33:L33"/>
    <mergeCell ref="M38:O38"/>
    <mergeCell ref="G41:I41"/>
    <mergeCell ref="J42:L42"/>
    <mergeCell ref="A1:P1"/>
    <mergeCell ref="A31:C31"/>
    <mergeCell ref="A40:C40"/>
    <mergeCell ref="G27:I27"/>
    <mergeCell ref="J28:L28"/>
    <mergeCell ref="D31:F31"/>
    <mergeCell ref="J37:L37"/>
    <mergeCell ref="D40:F40"/>
    <mergeCell ref="J30:L30"/>
    <mergeCell ref="A25:C25"/>
    <mergeCell ref="D32:F32"/>
    <mergeCell ref="A42:C42"/>
    <mergeCell ref="J32:L32"/>
    <mergeCell ref="M42:O42"/>
    <mergeCell ref="G29:I29"/>
    <mergeCell ref="D33:F33"/>
    <mergeCell ref="D42:F42"/>
    <mergeCell ref="A28:C28"/>
    <mergeCell ref="H2:I2"/>
    <mergeCell ref="A2:E2"/>
    <mergeCell ref="P42:R42"/>
    <mergeCell ref="G31:I31"/>
    <mergeCell ref="G40:I40"/>
    <mergeCell ref="A30:C30"/>
    <mergeCell ref="D36:F36"/>
    <mergeCell ref="A41:C41"/>
    <mergeCell ref="J36:L36"/>
    <mergeCell ref="A27:C27"/>
    <mergeCell ref="P39:R39"/>
    <mergeCell ref="G33:I33"/>
    <mergeCell ref="A33:C33"/>
    <mergeCell ref="M36:O36"/>
    <mergeCell ref="J31:L31"/>
    <mergeCell ref="G25:I25"/>
    <mergeCell ref="D38:F38"/>
    <mergeCell ref="D26:F26"/>
    <mergeCell ref="A39:C39"/>
    <mergeCell ref="A36:C36"/>
    <mergeCell ref="P41:R41"/>
    <mergeCell ref="G39:I39"/>
  </mergeCells>
  <conditionalFormatting sqref="B17:AF22">
    <cfRule type="expression" priority="1" dxfId="0">
      <formula>AND(ISNUMBER(B17),B17&lt;1)</formula>
    </cfRule>
    <cfRule type="expression" priority="2" dxfId="4">
      <formula>AND(ISNUMBER(B17),B17&gt;=1)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2026-10-02T07:43:50Z</dcterms:created>
  <dcterms:modified xsi:type="dcterms:W3CDTF">2026-10-02T07:43:50Z</dcterms:modified>
</cp:coreProperties>
</file>